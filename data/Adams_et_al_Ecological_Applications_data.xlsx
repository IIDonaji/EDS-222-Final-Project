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xa\Dropbox\Max's articles\Degrees\Post-Doc\Natural Histroy Museum Urban Ecology\Projects\BioSCAN\Paper\"/>
    </mc:Choice>
  </mc:AlternateContent>
  <xr:revisionPtr revIDLastSave="0" documentId="13_ncr:1_{416C0CAB-DC64-4495-BB56-DBEE8F8D2265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Meta" sheetId="2" r:id="rId1"/>
    <sheet name="BioSCAN Phase 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" i="1" l="1"/>
  <c r="X3" i="1" s="1"/>
  <c r="W3" i="1"/>
  <c r="Y3" i="1" s="1"/>
  <c r="V4" i="1"/>
  <c r="X4" i="1" s="1"/>
  <c r="W4" i="1"/>
  <c r="Y4" i="1"/>
  <c r="V5" i="1"/>
  <c r="X5" i="1" s="1"/>
  <c r="W5" i="1"/>
  <c r="Y5" i="1"/>
  <c r="V6" i="1"/>
  <c r="X6" i="1" s="1"/>
  <c r="W6" i="1"/>
  <c r="Y6" i="1"/>
  <c r="V7" i="1"/>
  <c r="X7" i="1" s="1"/>
  <c r="W7" i="1"/>
  <c r="Y7" i="1"/>
  <c r="V8" i="1"/>
  <c r="X8" i="1" s="1"/>
  <c r="W8" i="1"/>
  <c r="Y8" i="1"/>
  <c r="V9" i="1"/>
  <c r="X9" i="1" s="1"/>
  <c r="W9" i="1"/>
  <c r="Y9" i="1"/>
  <c r="V10" i="1"/>
  <c r="X10" i="1" s="1"/>
  <c r="W10" i="1"/>
  <c r="Y10" i="1"/>
  <c r="V11" i="1"/>
  <c r="X11" i="1" s="1"/>
  <c r="W11" i="1"/>
  <c r="Y11" i="1"/>
  <c r="V12" i="1"/>
  <c r="X12" i="1" s="1"/>
  <c r="W12" i="1"/>
  <c r="Y12" i="1"/>
  <c r="V13" i="1"/>
  <c r="X13" i="1" s="1"/>
  <c r="W13" i="1"/>
  <c r="Y13" i="1"/>
  <c r="V14" i="1"/>
  <c r="X14" i="1" s="1"/>
  <c r="W14" i="1"/>
  <c r="Y14" i="1"/>
  <c r="V15" i="1"/>
  <c r="X15" i="1" s="1"/>
  <c r="W15" i="1"/>
  <c r="Y15" i="1"/>
  <c r="V16" i="1"/>
  <c r="X16" i="1" s="1"/>
  <c r="W16" i="1"/>
  <c r="Y16" i="1"/>
  <c r="V17" i="1"/>
  <c r="X17" i="1" s="1"/>
  <c r="W17" i="1"/>
  <c r="Y17" i="1"/>
  <c r="V18" i="1"/>
  <c r="X18" i="1" s="1"/>
  <c r="W18" i="1"/>
  <c r="Y18" i="1"/>
  <c r="V19" i="1"/>
  <c r="X19" i="1" s="1"/>
  <c r="W19" i="1"/>
  <c r="Y19" i="1" s="1"/>
  <c r="V20" i="1"/>
  <c r="X20" i="1" s="1"/>
  <c r="W20" i="1"/>
  <c r="Y20" i="1"/>
  <c r="V21" i="1"/>
  <c r="X21" i="1" s="1"/>
  <c r="W21" i="1"/>
  <c r="Y21" i="1" s="1"/>
  <c r="V22" i="1"/>
  <c r="X22" i="1" s="1"/>
  <c r="W22" i="1"/>
  <c r="Y22" i="1"/>
  <c r="V23" i="1"/>
  <c r="X23" i="1" s="1"/>
  <c r="W23" i="1"/>
  <c r="Y23" i="1" s="1"/>
  <c r="V24" i="1"/>
  <c r="X24" i="1" s="1"/>
  <c r="W24" i="1"/>
  <c r="Y24" i="1"/>
  <c r="V25" i="1"/>
  <c r="X25" i="1" s="1"/>
  <c r="W25" i="1"/>
  <c r="Y25" i="1" s="1"/>
  <c r="V26" i="1"/>
  <c r="X26" i="1" s="1"/>
  <c r="W26" i="1"/>
  <c r="Y26" i="1"/>
  <c r="V27" i="1"/>
  <c r="X27" i="1" s="1"/>
  <c r="W27" i="1"/>
  <c r="Y27" i="1" s="1"/>
  <c r="V28" i="1"/>
  <c r="X28" i="1" s="1"/>
  <c r="W28" i="1"/>
  <c r="Y28" i="1"/>
  <c r="V29" i="1"/>
  <c r="X29" i="1" s="1"/>
  <c r="W29" i="1"/>
  <c r="Y29" i="1" s="1"/>
  <c r="V30" i="1"/>
  <c r="X30" i="1" s="1"/>
  <c r="W30" i="1"/>
  <c r="Y30" i="1"/>
  <c r="V31" i="1"/>
  <c r="X31" i="1" s="1"/>
  <c r="W31" i="1"/>
  <c r="Y31" i="1" s="1"/>
  <c r="V32" i="1"/>
  <c r="X32" i="1" s="1"/>
  <c r="W32" i="1"/>
  <c r="Y32" i="1"/>
  <c r="V33" i="1"/>
  <c r="X33" i="1" s="1"/>
  <c r="W33" i="1"/>
  <c r="Y33" i="1" s="1"/>
  <c r="V34" i="1"/>
  <c r="X34" i="1" s="1"/>
  <c r="W34" i="1"/>
  <c r="Y34" i="1" s="1"/>
  <c r="V35" i="1"/>
  <c r="X35" i="1" s="1"/>
  <c r="W35" i="1"/>
  <c r="Y35" i="1" s="1"/>
  <c r="V36" i="1"/>
  <c r="X36" i="1" s="1"/>
  <c r="W36" i="1"/>
  <c r="Y36" i="1"/>
  <c r="V37" i="1"/>
  <c r="X37" i="1" s="1"/>
  <c r="W37" i="1"/>
  <c r="Y37" i="1" s="1"/>
  <c r="V38" i="1"/>
  <c r="X38" i="1" s="1"/>
  <c r="W38" i="1"/>
  <c r="Y38" i="1" s="1"/>
  <c r="V39" i="1"/>
  <c r="X39" i="1" s="1"/>
  <c r="W39" i="1"/>
  <c r="Y39" i="1" s="1"/>
  <c r="V40" i="1"/>
  <c r="X40" i="1" s="1"/>
  <c r="W40" i="1"/>
  <c r="Y40" i="1"/>
  <c r="V41" i="1"/>
  <c r="X41" i="1" s="1"/>
  <c r="W41" i="1"/>
  <c r="Y41" i="1" s="1"/>
  <c r="V42" i="1"/>
  <c r="X42" i="1" s="1"/>
  <c r="W42" i="1"/>
  <c r="Y42" i="1" s="1"/>
  <c r="V43" i="1"/>
  <c r="X43" i="1" s="1"/>
  <c r="W43" i="1"/>
  <c r="Y43" i="1" s="1"/>
  <c r="V44" i="1"/>
  <c r="X44" i="1" s="1"/>
  <c r="W44" i="1"/>
  <c r="Y44" i="1"/>
  <c r="V45" i="1"/>
  <c r="X45" i="1" s="1"/>
  <c r="W45" i="1"/>
  <c r="Y45" i="1" s="1"/>
  <c r="V46" i="1"/>
  <c r="X46" i="1" s="1"/>
  <c r="W46" i="1"/>
  <c r="Y46" i="1"/>
  <c r="V47" i="1"/>
  <c r="X47" i="1" s="1"/>
  <c r="W47" i="1"/>
  <c r="Y47" i="1" s="1"/>
  <c r="V48" i="1"/>
  <c r="X48" i="1" s="1"/>
  <c r="W48" i="1"/>
  <c r="Y48" i="1"/>
  <c r="V49" i="1"/>
  <c r="X49" i="1" s="1"/>
  <c r="W49" i="1"/>
  <c r="Y49" i="1" s="1"/>
  <c r="V50" i="1"/>
  <c r="X50" i="1" s="1"/>
  <c r="W50" i="1"/>
  <c r="Y50" i="1" s="1"/>
  <c r="V51" i="1"/>
  <c r="X51" i="1" s="1"/>
  <c r="W51" i="1"/>
  <c r="Y51" i="1" s="1"/>
  <c r="V52" i="1"/>
  <c r="X52" i="1" s="1"/>
  <c r="W52" i="1"/>
  <c r="Y52" i="1"/>
  <c r="V53" i="1"/>
  <c r="X53" i="1" s="1"/>
  <c r="W53" i="1"/>
  <c r="Y53" i="1" s="1"/>
  <c r="V54" i="1"/>
  <c r="X54" i="1" s="1"/>
  <c r="W54" i="1"/>
  <c r="Y54" i="1" s="1"/>
  <c r="V55" i="1"/>
  <c r="X55" i="1" s="1"/>
  <c r="W55" i="1"/>
  <c r="Y55" i="1" s="1"/>
  <c r="V56" i="1"/>
  <c r="X56" i="1" s="1"/>
  <c r="W56" i="1"/>
  <c r="Y56" i="1"/>
  <c r="V57" i="1"/>
  <c r="X57" i="1" s="1"/>
  <c r="W57" i="1"/>
  <c r="Y57" i="1" s="1"/>
  <c r="V58" i="1"/>
  <c r="X58" i="1" s="1"/>
  <c r="W58" i="1"/>
  <c r="Y58" i="1" s="1"/>
  <c r="V59" i="1"/>
  <c r="X59" i="1" s="1"/>
  <c r="W59" i="1"/>
  <c r="Y59" i="1" s="1"/>
  <c r="V60" i="1"/>
  <c r="X60" i="1" s="1"/>
  <c r="W60" i="1"/>
  <c r="Y60" i="1"/>
  <c r="V61" i="1"/>
  <c r="X61" i="1" s="1"/>
  <c r="W61" i="1"/>
  <c r="Y61" i="1" s="1"/>
  <c r="V62" i="1"/>
  <c r="X62" i="1" s="1"/>
  <c r="W62" i="1"/>
  <c r="Y62" i="1"/>
  <c r="V63" i="1"/>
  <c r="X63" i="1" s="1"/>
  <c r="W63" i="1"/>
  <c r="Y63" i="1" s="1"/>
  <c r="V64" i="1"/>
  <c r="X64" i="1" s="1"/>
  <c r="W64" i="1"/>
  <c r="Y64" i="1"/>
  <c r="V65" i="1"/>
  <c r="X65" i="1" s="1"/>
  <c r="W65" i="1"/>
  <c r="Y65" i="1" s="1"/>
  <c r="V66" i="1"/>
  <c r="X66" i="1" s="1"/>
  <c r="W66" i="1"/>
  <c r="Y66" i="1" s="1"/>
  <c r="V67" i="1"/>
  <c r="X67" i="1" s="1"/>
  <c r="W67" i="1"/>
  <c r="Y67" i="1" s="1"/>
  <c r="V68" i="1"/>
  <c r="X68" i="1" s="1"/>
  <c r="W68" i="1"/>
  <c r="Y68" i="1"/>
  <c r="V69" i="1"/>
  <c r="X69" i="1" s="1"/>
  <c r="W69" i="1"/>
  <c r="Y69" i="1" s="1"/>
  <c r="V70" i="1"/>
  <c r="X70" i="1" s="1"/>
  <c r="W70" i="1"/>
  <c r="Y70" i="1" s="1"/>
  <c r="V71" i="1"/>
  <c r="X71" i="1" s="1"/>
  <c r="W71" i="1"/>
  <c r="Y71" i="1" s="1"/>
  <c r="V72" i="1"/>
  <c r="X72" i="1" s="1"/>
  <c r="W72" i="1"/>
  <c r="Y72" i="1" s="1"/>
  <c r="V73" i="1"/>
  <c r="X73" i="1" s="1"/>
  <c r="W73" i="1"/>
  <c r="Y73" i="1" s="1"/>
  <c r="V74" i="1"/>
  <c r="X74" i="1" s="1"/>
  <c r="W74" i="1"/>
  <c r="Y74" i="1" s="1"/>
  <c r="V75" i="1"/>
  <c r="X75" i="1" s="1"/>
  <c r="W75" i="1"/>
  <c r="Y75" i="1" s="1"/>
  <c r="V76" i="1"/>
  <c r="X76" i="1" s="1"/>
  <c r="W76" i="1"/>
  <c r="Y76" i="1"/>
  <c r="V77" i="1"/>
  <c r="X77" i="1" s="1"/>
  <c r="W77" i="1"/>
  <c r="Y77" i="1" s="1"/>
  <c r="V78" i="1"/>
  <c r="X78" i="1" s="1"/>
  <c r="W78" i="1"/>
  <c r="Y78" i="1"/>
  <c r="V79" i="1"/>
  <c r="X79" i="1" s="1"/>
  <c r="W79" i="1"/>
  <c r="Y79" i="1" s="1"/>
  <c r="V80" i="1"/>
  <c r="X80" i="1" s="1"/>
  <c r="W80" i="1"/>
  <c r="Y80" i="1"/>
  <c r="V81" i="1"/>
  <c r="X81" i="1" s="1"/>
  <c r="W81" i="1"/>
  <c r="Y81" i="1" s="1"/>
  <c r="V82" i="1"/>
  <c r="X82" i="1" s="1"/>
  <c r="W82" i="1"/>
  <c r="Y82" i="1" s="1"/>
  <c r="V83" i="1"/>
  <c r="X83" i="1" s="1"/>
  <c r="W83" i="1"/>
  <c r="Y83" i="1" s="1"/>
  <c r="V84" i="1"/>
  <c r="X84" i="1" s="1"/>
  <c r="W84" i="1"/>
  <c r="Y84" i="1"/>
  <c r="V85" i="1"/>
  <c r="X85" i="1" s="1"/>
  <c r="W85" i="1"/>
  <c r="Y85" i="1" s="1"/>
  <c r="V86" i="1"/>
  <c r="X86" i="1" s="1"/>
  <c r="W86" i="1"/>
  <c r="Y86" i="1" s="1"/>
  <c r="V87" i="1"/>
  <c r="X87" i="1" s="1"/>
  <c r="W87" i="1"/>
  <c r="Y87" i="1" s="1"/>
  <c r="V88" i="1"/>
  <c r="X88" i="1" s="1"/>
  <c r="W88" i="1"/>
  <c r="Y88" i="1" s="1"/>
  <c r="V89" i="1"/>
  <c r="X89" i="1" s="1"/>
  <c r="W89" i="1"/>
  <c r="Y89" i="1" s="1"/>
  <c r="V90" i="1"/>
  <c r="X90" i="1" s="1"/>
  <c r="W90" i="1"/>
  <c r="Y90" i="1" s="1"/>
  <c r="V91" i="1"/>
  <c r="X91" i="1" s="1"/>
  <c r="W91" i="1"/>
  <c r="Y91" i="1" s="1"/>
  <c r="V92" i="1"/>
  <c r="X92" i="1" s="1"/>
  <c r="W92" i="1"/>
  <c r="Y92" i="1"/>
  <c r="V93" i="1"/>
  <c r="X93" i="1" s="1"/>
  <c r="W93" i="1"/>
  <c r="Y93" i="1" s="1"/>
  <c r="V94" i="1"/>
  <c r="X94" i="1" s="1"/>
  <c r="W94" i="1"/>
  <c r="Y94" i="1"/>
  <c r="V95" i="1"/>
  <c r="X95" i="1" s="1"/>
  <c r="W95" i="1"/>
  <c r="Y95" i="1" s="1"/>
  <c r="V96" i="1"/>
  <c r="X96" i="1" s="1"/>
  <c r="W96" i="1"/>
  <c r="Y96" i="1"/>
  <c r="V97" i="1"/>
  <c r="X97" i="1" s="1"/>
  <c r="W97" i="1"/>
  <c r="Y97" i="1" s="1"/>
  <c r="V98" i="1"/>
  <c r="X98" i="1" s="1"/>
  <c r="W98" i="1"/>
  <c r="Y98" i="1" s="1"/>
  <c r="V99" i="1"/>
  <c r="X99" i="1" s="1"/>
  <c r="W99" i="1"/>
  <c r="Y99" i="1" s="1"/>
  <c r="V100" i="1"/>
  <c r="X100" i="1" s="1"/>
  <c r="W100" i="1"/>
  <c r="Y100" i="1"/>
  <c r="V101" i="1"/>
  <c r="X101" i="1" s="1"/>
  <c r="W101" i="1"/>
  <c r="Y101" i="1" s="1"/>
  <c r="V102" i="1"/>
  <c r="X102" i="1" s="1"/>
  <c r="W102" i="1"/>
  <c r="Y102" i="1" s="1"/>
  <c r="V103" i="1"/>
  <c r="X103" i="1" s="1"/>
  <c r="W103" i="1"/>
  <c r="Y103" i="1" s="1"/>
  <c r="V104" i="1"/>
  <c r="X104" i="1" s="1"/>
  <c r="W104" i="1"/>
  <c r="Y104" i="1" s="1"/>
  <c r="V105" i="1"/>
  <c r="X105" i="1" s="1"/>
  <c r="W105" i="1"/>
  <c r="Y105" i="1" s="1"/>
  <c r="V106" i="1"/>
  <c r="X106" i="1" s="1"/>
  <c r="W106" i="1"/>
  <c r="Y106" i="1" s="1"/>
  <c r="V107" i="1"/>
  <c r="X107" i="1" s="1"/>
  <c r="W107" i="1"/>
  <c r="Y107" i="1" s="1"/>
  <c r="V108" i="1"/>
  <c r="X108" i="1" s="1"/>
  <c r="W108" i="1"/>
  <c r="Y108" i="1"/>
  <c r="V109" i="1"/>
  <c r="X109" i="1" s="1"/>
  <c r="W109" i="1"/>
  <c r="Y109" i="1" s="1"/>
  <c r="V110" i="1"/>
  <c r="X110" i="1" s="1"/>
  <c r="W110" i="1"/>
  <c r="Y110" i="1"/>
  <c r="V111" i="1"/>
  <c r="X111" i="1" s="1"/>
  <c r="W111" i="1"/>
  <c r="Y111" i="1" s="1"/>
  <c r="V112" i="1"/>
  <c r="X112" i="1" s="1"/>
  <c r="W112" i="1"/>
  <c r="Y112" i="1"/>
  <c r="V113" i="1"/>
  <c r="X113" i="1" s="1"/>
  <c r="W113" i="1"/>
  <c r="Y113" i="1" s="1"/>
  <c r="V114" i="1"/>
  <c r="X114" i="1" s="1"/>
  <c r="W114" i="1"/>
  <c r="Y114" i="1" s="1"/>
  <c r="V115" i="1"/>
  <c r="X115" i="1" s="1"/>
  <c r="W115" i="1"/>
  <c r="Y115" i="1" s="1"/>
  <c r="V116" i="1"/>
  <c r="X116" i="1" s="1"/>
  <c r="W116" i="1"/>
  <c r="Y116" i="1"/>
  <c r="V117" i="1"/>
  <c r="X117" i="1" s="1"/>
  <c r="W117" i="1"/>
  <c r="Y117" i="1" s="1"/>
  <c r="V118" i="1"/>
  <c r="X118" i="1" s="1"/>
  <c r="W118" i="1"/>
  <c r="Y118" i="1" s="1"/>
  <c r="V119" i="1"/>
  <c r="X119" i="1" s="1"/>
  <c r="W119" i="1"/>
  <c r="Y119" i="1" s="1"/>
  <c r="V120" i="1"/>
  <c r="X120" i="1" s="1"/>
  <c r="W120" i="1"/>
  <c r="Y120" i="1" s="1"/>
  <c r="V121" i="1"/>
  <c r="X121" i="1" s="1"/>
  <c r="W121" i="1"/>
  <c r="Y121" i="1" s="1"/>
  <c r="V122" i="1"/>
  <c r="X122" i="1" s="1"/>
  <c r="W122" i="1"/>
  <c r="Y122" i="1" s="1"/>
  <c r="V123" i="1"/>
  <c r="X123" i="1" s="1"/>
  <c r="W123" i="1"/>
  <c r="Y123" i="1" s="1"/>
  <c r="V124" i="1"/>
  <c r="X124" i="1" s="1"/>
  <c r="W124" i="1"/>
  <c r="Y124" i="1"/>
  <c r="V125" i="1"/>
  <c r="X125" i="1" s="1"/>
  <c r="W125" i="1"/>
  <c r="Y125" i="1" s="1"/>
  <c r="V126" i="1"/>
  <c r="X126" i="1" s="1"/>
  <c r="W126" i="1"/>
  <c r="Y126" i="1"/>
  <c r="V127" i="1"/>
  <c r="X127" i="1" s="1"/>
  <c r="W127" i="1"/>
  <c r="Y127" i="1" s="1"/>
  <c r="V128" i="1"/>
  <c r="X128" i="1" s="1"/>
  <c r="W128" i="1"/>
  <c r="Y128" i="1" s="1"/>
  <c r="V129" i="1"/>
  <c r="X129" i="1" s="1"/>
  <c r="W129" i="1"/>
  <c r="Y129" i="1" s="1"/>
  <c r="V130" i="1"/>
  <c r="X130" i="1" s="1"/>
  <c r="W130" i="1"/>
  <c r="Y130" i="1" s="1"/>
  <c r="V131" i="1"/>
  <c r="X131" i="1" s="1"/>
  <c r="W131" i="1"/>
  <c r="Y131" i="1" s="1"/>
  <c r="V132" i="1"/>
  <c r="X132" i="1" s="1"/>
  <c r="W132" i="1"/>
  <c r="Y132" i="1"/>
  <c r="V133" i="1"/>
  <c r="X133" i="1" s="1"/>
  <c r="W133" i="1"/>
  <c r="Y133" i="1" s="1"/>
  <c r="V134" i="1"/>
  <c r="X134" i="1" s="1"/>
  <c r="W134" i="1"/>
  <c r="Y134" i="1" s="1"/>
  <c r="V135" i="1"/>
  <c r="X135" i="1" s="1"/>
  <c r="W135" i="1"/>
  <c r="Y135" i="1" s="1"/>
  <c r="V136" i="1"/>
  <c r="X136" i="1" s="1"/>
  <c r="W136" i="1"/>
  <c r="Y136" i="1" s="1"/>
  <c r="V137" i="1"/>
  <c r="X137" i="1" s="1"/>
  <c r="W137" i="1"/>
  <c r="Y137" i="1" s="1"/>
  <c r="V138" i="1"/>
  <c r="X138" i="1" s="1"/>
  <c r="W138" i="1"/>
  <c r="Y138" i="1" s="1"/>
  <c r="V139" i="1"/>
  <c r="X139" i="1" s="1"/>
  <c r="W139" i="1"/>
  <c r="Y139" i="1" s="1"/>
  <c r="V140" i="1"/>
  <c r="X140" i="1" s="1"/>
  <c r="W140" i="1"/>
  <c r="Y140" i="1"/>
  <c r="V141" i="1"/>
  <c r="X141" i="1" s="1"/>
  <c r="W141" i="1"/>
  <c r="Y141" i="1" s="1"/>
  <c r="V142" i="1"/>
  <c r="X142" i="1" s="1"/>
  <c r="W142" i="1"/>
  <c r="Y142" i="1"/>
  <c r="V143" i="1"/>
  <c r="X143" i="1" s="1"/>
  <c r="W143" i="1"/>
  <c r="Y143" i="1" s="1"/>
  <c r="V144" i="1"/>
  <c r="X144" i="1" s="1"/>
  <c r="W144" i="1"/>
  <c r="Y144" i="1" s="1"/>
  <c r="V145" i="1"/>
  <c r="X145" i="1" s="1"/>
  <c r="W145" i="1"/>
  <c r="Y145" i="1" s="1"/>
  <c r="V146" i="1"/>
  <c r="X146" i="1" s="1"/>
  <c r="W146" i="1"/>
  <c r="Y146" i="1" s="1"/>
  <c r="V147" i="1"/>
  <c r="X147" i="1" s="1"/>
  <c r="W147" i="1"/>
  <c r="Y147" i="1" s="1"/>
  <c r="V148" i="1"/>
  <c r="X148" i="1" s="1"/>
  <c r="W148" i="1"/>
  <c r="Y148" i="1"/>
  <c r="V149" i="1"/>
  <c r="X149" i="1" s="1"/>
  <c r="W149" i="1"/>
  <c r="Y149" i="1" s="1"/>
  <c r="V150" i="1"/>
  <c r="X150" i="1" s="1"/>
  <c r="W150" i="1"/>
  <c r="Y150" i="1" s="1"/>
  <c r="V151" i="1"/>
  <c r="X151" i="1" s="1"/>
  <c r="W151" i="1"/>
  <c r="Y151" i="1" s="1"/>
  <c r="V152" i="1"/>
  <c r="X152" i="1" s="1"/>
  <c r="W152" i="1"/>
  <c r="Y152" i="1" s="1"/>
  <c r="V153" i="1"/>
  <c r="X153" i="1" s="1"/>
  <c r="W153" i="1"/>
  <c r="Y153" i="1" s="1"/>
  <c r="V154" i="1"/>
  <c r="X154" i="1" s="1"/>
  <c r="W154" i="1"/>
  <c r="Y154" i="1" s="1"/>
  <c r="V155" i="1"/>
  <c r="X155" i="1" s="1"/>
  <c r="W155" i="1"/>
  <c r="Y155" i="1" s="1"/>
  <c r="V156" i="1"/>
  <c r="X156" i="1" s="1"/>
  <c r="W156" i="1"/>
  <c r="Y156" i="1"/>
  <c r="V157" i="1"/>
  <c r="X157" i="1" s="1"/>
  <c r="W157" i="1"/>
  <c r="Y157" i="1" s="1"/>
  <c r="V158" i="1"/>
  <c r="X158" i="1" s="1"/>
  <c r="W158" i="1"/>
  <c r="Y158" i="1"/>
  <c r="V159" i="1"/>
  <c r="X159" i="1" s="1"/>
  <c r="W159" i="1"/>
  <c r="Y159" i="1" s="1"/>
  <c r="V160" i="1"/>
  <c r="X160" i="1" s="1"/>
  <c r="W160" i="1"/>
  <c r="Y160" i="1" s="1"/>
  <c r="V161" i="1"/>
  <c r="X161" i="1" s="1"/>
  <c r="W161" i="1"/>
  <c r="Y161" i="1" s="1"/>
  <c r="V162" i="1"/>
  <c r="X162" i="1" s="1"/>
  <c r="W162" i="1"/>
  <c r="Y162" i="1" s="1"/>
  <c r="V163" i="1"/>
  <c r="X163" i="1" s="1"/>
  <c r="W163" i="1"/>
  <c r="Y163" i="1" s="1"/>
  <c r="V164" i="1"/>
  <c r="X164" i="1" s="1"/>
  <c r="W164" i="1"/>
  <c r="Y164" i="1"/>
  <c r="V165" i="1"/>
  <c r="X165" i="1" s="1"/>
  <c r="W165" i="1"/>
  <c r="Y165" i="1" s="1"/>
  <c r="V166" i="1"/>
  <c r="X166" i="1" s="1"/>
  <c r="W166" i="1"/>
  <c r="Y166" i="1"/>
  <c r="V167" i="1"/>
  <c r="X167" i="1" s="1"/>
  <c r="W167" i="1"/>
  <c r="Y167" i="1" s="1"/>
  <c r="V168" i="1"/>
  <c r="X168" i="1" s="1"/>
  <c r="W168" i="1"/>
  <c r="Y168" i="1"/>
  <c r="V169" i="1"/>
  <c r="X169" i="1" s="1"/>
  <c r="W169" i="1"/>
  <c r="Y169" i="1" s="1"/>
  <c r="V170" i="1"/>
  <c r="X170" i="1" s="1"/>
  <c r="W170" i="1"/>
  <c r="Y170" i="1" s="1"/>
  <c r="V171" i="1"/>
  <c r="X171" i="1" s="1"/>
  <c r="W171" i="1"/>
  <c r="Y171" i="1" s="1"/>
  <c r="V172" i="1"/>
  <c r="X172" i="1" s="1"/>
  <c r="W172" i="1"/>
  <c r="Y172" i="1"/>
  <c r="V173" i="1"/>
  <c r="X173" i="1" s="1"/>
  <c r="W173" i="1"/>
  <c r="Y173" i="1" s="1"/>
  <c r="V174" i="1"/>
  <c r="X174" i="1" s="1"/>
  <c r="W174" i="1"/>
  <c r="Y174" i="1" s="1"/>
  <c r="V175" i="1"/>
  <c r="X175" i="1" s="1"/>
  <c r="W175" i="1"/>
  <c r="Y175" i="1" s="1"/>
  <c r="V176" i="1"/>
  <c r="X176" i="1" s="1"/>
  <c r="W176" i="1"/>
  <c r="Y176" i="1"/>
  <c r="V177" i="1"/>
  <c r="X177" i="1" s="1"/>
  <c r="W177" i="1"/>
  <c r="Y177" i="1" s="1"/>
  <c r="V178" i="1"/>
  <c r="X178" i="1" s="1"/>
  <c r="W178" i="1"/>
  <c r="Y178" i="1"/>
  <c r="V179" i="1"/>
  <c r="X179" i="1" s="1"/>
  <c r="W179" i="1"/>
  <c r="Y179" i="1" s="1"/>
  <c r="V180" i="1"/>
  <c r="X180" i="1" s="1"/>
  <c r="W180" i="1"/>
  <c r="Y180" i="1" s="1"/>
  <c r="V181" i="1"/>
  <c r="X181" i="1" s="1"/>
  <c r="W181" i="1"/>
  <c r="Y181" i="1" s="1"/>
  <c r="V182" i="1"/>
  <c r="X182" i="1" s="1"/>
  <c r="W182" i="1"/>
  <c r="Y182" i="1"/>
  <c r="V183" i="1"/>
  <c r="X183" i="1" s="1"/>
  <c r="W183" i="1"/>
  <c r="Y183" i="1" s="1"/>
  <c r="V184" i="1"/>
  <c r="X184" i="1" s="1"/>
  <c r="W184" i="1"/>
  <c r="Y184" i="1" s="1"/>
  <c r="V185" i="1"/>
  <c r="X185" i="1" s="1"/>
  <c r="W185" i="1"/>
  <c r="Y185" i="1" s="1"/>
  <c r="V186" i="1"/>
  <c r="X186" i="1" s="1"/>
  <c r="W186" i="1"/>
  <c r="Y186" i="1" s="1"/>
  <c r="V187" i="1"/>
  <c r="X187" i="1" s="1"/>
  <c r="W187" i="1"/>
  <c r="Y187" i="1" s="1"/>
  <c r="V188" i="1"/>
  <c r="X188" i="1" s="1"/>
  <c r="W188" i="1"/>
  <c r="Y188" i="1" s="1"/>
  <c r="V189" i="1"/>
  <c r="X189" i="1" s="1"/>
  <c r="W189" i="1"/>
  <c r="Y189" i="1" s="1"/>
  <c r="V190" i="1"/>
  <c r="X190" i="1" s="1"/>
  <c r="W190" i="1"/>
  <c r="Y190" i="1"/>
  <c r="V191" i="1"/>
  <c r="X191" i="1" s="1"/>
  <c r="W191" i="1"/>
  <c r="Y191" i="1" s="1"/>
  <c r="V192" i="1"/>
  <c r="X192" i="1" s="1"/>
  <c r="W192" i="1"/>
  <c r="Y192" i="1"/>
  <c r="V193" i="1"/>
  <c r="X193" i="1" s="1"/>
  <c r="W193" i="1"/>
  <c r="Y193" i="1" s="1"/>
  <c r="V194" i="1"/>
  <c r="X194" i="1" s="1"/>
  <c r="W194" i="1"/>
  <c r="Y194" i="1"/>
  <c r="V195" i="1"/>
  <c r="X195" i="1" s="1"/>
  <c r="W195" i="1"/>
  <c r="Y195" i="1" s="1"/>
  <c r="V196" i="1"/>
  <c r="X196" i="1" s="1"/>
  <c r="W196" i="1"/>
  <c r="Y196" i="1" s="1"/>
  <c r="V197" i="1"/>
  <c r="X197" i="1" s="1"/>
  <c r="W197" i="1"/>
  <c r="Y197" i="1" s="1"/>
  <c r="V198" i="1"/>
  <c r="X198" i="1" s="1"/>
  <c r="W198" i="1"/>
  <c r="Y198" i="1"/>
  <c r="V199" i="1"/>
  <c r="X199" i="1" s="1"/>
  <c r="W199" i="1"/>
  <c r="Y199" i="1" s="1"/>
  <c r="V200" i="1"/>
  <c r="X200" i="1" s="1"/>
  <c r="W200" i="1"/>
  <c r="Y200" i="1" s="1"/>
  <c r="V201" i="1"/>
  <c r="X201" i="1" s="1"/>
  <c r="W201" i="1"/>
  <c r="Y201" i="1" s="1"/>
  <c r="V202" i="1"/>
  <c r="X202" i="1" s="1"/>
  <c r="W202" i="1"/>
  <c r="Y202" i="1" s="1"/>
  <c r="V203" i="1"/>
  <c r="X203" i="1" s="1"/>
  <c r="W203" i="1"/>
  <c r="Y203" i="1" s="1"/>
  <c r="V204" i="1"/>
  <c r="X204" i="1" s="1"/>
  <c r="W204" i="1"/>
  <c r="Y204" i="1" s="1"/>
  <c r="V205" i="1"/>
  <c r="X205" i="1" s="1"/>
  <c r="W205" i="1"/>
  <c r="Y205" i="1" s="1"/>
  <c r="V206" i="1"/>
  <c r="X206" i="1" s="1"/>
  <c r="W206" i="1"/>
  <c r="Y206" i="1"/>
  <c r="V207" i="1"/>
  <c r="X207" i="1" s="1"/>
  <c r="W207" i="1"/>
  <c r="Y207" i="1" s="1"/>
  <c r="V208" i="1"/>
  <c r="X208" i="1" s="1"/>
  <c r="W208" i="1"/>
  <c r="Y208" i="1"/>
  <c r="V209" i="1"/>
  <c r="X209" i="1" s="1"/>
  <c r="W209" i="1"/>
  <c r="Y209" i="1" s="1"/>
  <c r="V210" i="1"/>
  <c r="X210" i="1" s="1"/>
  <c r="W210" i="1"/>
  <c r="Y210" i="1"/>
  <c r="V211" i="1"/>
  <c r="X211" i="1" s="1"/>
  <c r="W211" i="1"/>
  <c r="Y211" i="1" s="1"/>
  <c r="V212" i="1"/>
  <c r="X212" i="1" s="1"/>
  <c r="W212" i="1"/>
  <c r="Y212" i="1" s="1"/>
  <c r="V213" i="1"/>
  <c r="X213" i="1" s="1"/>
  <c r="W213" i="1"/>
  <c r="Y213" i="1" s="1"/>
  <c r="V214" i="1"/>
  <c r="X214" i="1" s="1"/>
  <c r="W214" i="1"/>
  <c r="Y214" i="1"/>
  <c r="V215" i="1"/>
  <c r="X215" i="1" s="1"/>
  <c r="W215" i="1"/>
  <c r="Y215" i="1" s="1"/>
  <c r="V216" i="1"/>
  <c r="X216" i="1" s="1"/>
  <c r="W216" i="1"/>
  <c r="Y216" i="1" s="1"/>
  <c r="V217" i="1"/>
  <c r="X217" i="1" s="1"/>
  <c r="W217" i="1"/>
  <c r="Y217" i="1" s="1"/>
  <c r="V218" i="1"/>
  <c r="X218" i="1" s="1"/>
  <c r="W218" i="1"/>
  <c r="Y218" i="1" s="1"/>
  <c r="V219" i="1"/>
  <c r="X219" i="1" s="1"/>
  <c r="W219" i="1"/>
  <c r="Y219" i="1" s="1"/>
  <c r="V220" i="1"/>
  <c r="X220" i="1" s="1"/>
  <c r="W220" i="1"/>
  <c r="Y220" i="1" s="1"/>
  <c r="V221" i="1"/>
  <c r="X221" i="1" s="1"/>
  <c r="W221" i="1"/>
  <c r="Y221" i="1" s="1"/>
  <c r="V222" i="1"/>
  <c r="X222" i="1" s="1"/>
  <c r="W222" i="1"/>
  <c r="Y222" i="1"/>
  <c r="V223" i="1"/>
  <c r="X223" i="1" s="1"/>
  <c r="W223" i="1"/>
  <c r="Y223" i="1" s="1"/>
  <c r="V224" i="1"/>
  <c r="X224" i="1" s="1"/>
  <c r="W224" i="1"/>
  <c r="Y224" i="1"/>
  <c r="V225" i="1"/>
  <c r="X225" i="1" s="1"/>
  <c r="W225" i="1"/>
  <c r="Y225" i="1" s="1"/>
  <c r="V226" i="1"/>
  <c r="X226" i="1" s="1"/>
  <c r="W226" i="1"/>
  <c r="Y226" i="1"/>
  <c r="V227" i="1"/>
  <c r="X227" i="1" s="1"/>
  <c r="W227" i="1"/>
  <c r="Y227" i="1" s="1"/>
  <c r="V228" i="1"/>
  <c r="X228" i="1" s="1"/>
  <c r="W228" i="1"/>
  <c r="Y228" i="1" s="1"/>
  <c r="V229" i="1"/>
  <c r="X229" i="1" s="1"/>
  <c r="W229" i="1"/>
  <c r="Y229" i="1" s="1"/>
  <c r="V230" i="1"/>
  <c r="X230" i="1" s="1"/>
  <c r="W230" i="1"/>
  <c r="Y230" i="1"/>
  <c r="V231" i="1"/>
  <c r="X231" i="1" s="1"/>
  <c r="W231" i="1"/>
  <c r="Y231" i="1" s="1"/>
  <c r="V232" i="1"/>
  <c r="X232" i="1" s="1"/>
  <c r="W232" i="1"/>
  <c r="Y232" i="1" s="1"/>
  <c r="V233" i="1"/>
  <c r="X233" i="1" s="1"/>
  <c r="W233" i="1"/>
  <c r="Y233" i="1" s="1"/>
  <c r="V234" i="1"/>
  <c r="X234" i="1" s="1"/>
  <c r="W234" i="1"/>
  <c r="Y234" i="1" s="1"/>
  <c r="V235" i="1"/>
  <c r="X235" i="1" s="1"/>
  <c r="W235" i="1"/>
  <c r="Y235" i="1" s="1"/>
  <c r="V236" i="1"/>
  <c r="X236" i="1" s="1"/>
  <c r="W236" i="1"/>
  <c r="Y236" i="1" s="1"/>
  <c r="V237" i="1"/>
  <c r="X237" i="1" s="1"/>
  <c r="W237" i="1"/>
  <c r="Y237" i="1" s="1"/>
  <c r="V238" i="1"/>
  <c r="X238" i="1" s="1"/>
  <c r="W238" i="1"/>
  <c r="Y238" i="1"/>
  <c r="V239" i="1"/>
  <c r="X239" i="1" s="1"/>
  <c r="W239" i="1"/>
  <c r="Y239" i="1" s="1"/>
  <c r="V240" i="1"/>
  <c r="X240" i="1" s="1"/>
  <c r="W240" i="1"/>
  <c r="Y240" i="1"/>
  <c r="V241" i="1"/>
  <c r="X241" i="1" s="1"/>
  <c r="W241" i="1"/>
  <c r="Y241" i="1" s="1"/>
  <c r="V242" i="1"/>
  <c r="X242" i="1" s="1"/>
  <c r="W242" i="1"/>
  <c r="Y242" i="1"/>
  <c r="V243" i="1"/>
  <c r="X243" i="1" s="1"/>
  <c r="W243" i="1"/>
  <c r="Y243" i="1" s="1"/>
  <c r="V244" i="1"/>
  <c r="X244" i="1" s="1"/>
  <c r="W244" i="1"/>
  <c r="Y244" i="1" s="1"/>
  <c r="V245" i="1"/>
  <c r="X245" i="1" s="1"/>
  <c r="W245" i="1"/>
  <c r="Y245" i="1" s="1"/>
  <c r="V246" i="1"/>
  <c r="X246" i="1" s="1"/>
  <c r="W246" i="1"/>
  <c r="Y246" i="1"/>
  <c r="V247" i="1"/>
  <c r="X247" i="1" s="1"/>
  <c r="W247" i="1"/>
  <c r="Y247" i="1" s="1"/>
  <c r="V248" i="1"/>
  <c r="X248" i="1" s="1"/>
  <c r="W248" i="1"/>
  <c r="Y248" i="1" s="1"/>
  <c r="V249" i="1"/>
  <c r="X249" i="1" s="1"/>
  <c r="W249" i="1"/>
  <c r="Y249" i="1" s="1"/>
  <c r="V250" i="1"/>
  <c r="X250" i="1" s="1"/>
  <c r="W250" i="1"/>
  <c r="Y250" i="1" s="1"/>
  <c r="V251" i="1"/>
  <c r="X251" i="1" s="1"/>
  <c r="W251" i="1"/>
  <c r="Y251" i="1" s="1"/>
  <c r="V252" i="1"/>
  <c r="X252" i="1" s="1"/>
  <c r="W252" i="1"/>
  <c r="Y252" i="1" s="1"/>
  <c r="V253" i="1"/>
  <c r="X253" i="1" s="1"/>
  <c r="W253" i="1"/>
  <c r="Y253" i="1" s="1"/>
  <c r="V254" i="1"/>
  <c r="X254" i="1" s="1"/>
  <c r="W254" i="1"/>
  <c r="Y254" i="1"/>
  <c r="V255" i="1"/>
  <c r="X255" i="1" s="1"/>
  <c r="W255" i="1"/>
  <c r="Y255" i="1" s="1"/>
  <c r="V256" i="1"/>
  <c r="X256" i="1" s="1"/>
  <c r="W256" i="1"/>
  <c r="Y256" i="1"/>
  <c r="V257" i="1"/>
  <c r="X257" i="1" s="1"/>
  <c r="W257" i="1"/>
  <c r="Y257" i="1" s="1"/>
  <c r="V258" i="1"/>
  <c r="X258" i="1" s="1"/>
  <c r="W258" i="1"/>
  <c r="Y258" i="1"/>
  <c r="V259" i="1"/>
  <c r="X259" i="1" s="1"/>
  <c r="W259" i="1"/>
  <c r="Y259" i="1" s="1"/>
  <c r="V260" i="1"/>
  <c r="X260" i="1" s="1"/>
  <c r="W260" i="1"/>
  <c r="Y260" i="1" s="1"/>
  <c r="V261" i="1"/>
  <c r="X261" i="1" s="1"/>
  <c r="W261" i="1"/>
  <c r="Y261" i="1" s="1"/>
  <c r="V262" i="1"/>
  <c r="X262" i="1" s="1"/>
  <c r="W262" i="1"/>
  <c r="Y262" i="1"/>
  <c r="V263" i="1"/>
  <c r="X263" i="1" s="1"/>
  <c r="W263" i="1"/>
  <c r="Y263" i="1" s="1"/>
  <c r="V264" i="1"/>
  <c r="X264" i="1" s="1"/>
  <c r="W264" i="1"/>
  <c r="Y264" i="1" s="1"/>
  <c r="V265" i="1"/>
  <c r="X265" i="1" s="1"/>
  <c r="W265" i="1"/>
  <c r="Y265" i="1" s="1"/>
  <c r="V266" i="1"/>
  <c r="X266" i="1" s="1"/>
  <c r="W266" i="1"/>
  <c r="Y266" i="1" s="1"/>
  <c r="V267" i="1"/>
  <c r="X267" i="1" s="1"/>
  <c r="W267" i="1"/>
  <c r="Y267" i="1" s="1"/>
  <c r="V268" i="1"/>
  <c r="X268" i="1" s="1"/>
  <c r="W268" i="1"/>
  <c r="Y268" i="1" s="1"/>
  <c r="V269" i="1"/>
  <c r="X269" i="1" s="1"/>
  <c r="W269" i="1"/>
  <c r="Y269" i="1" s="1"/>
  <c r="V270" i="1"/>
  <c r="X270" i="1" s="1"/>
  <c r="W270" i="1"/>
  <c r="Y270" i="1"/>
  <c r="V271" i="1"/>
  <c r="X271" i="1" s="1"/>
  <c r="W271" i="1"/>
  <c r="Y271" i="1" s="1"/>
  <c r="V272" i="1"/>
  <c r="X272" i="1" s="1"/>
  <c r="W272" i="1"/>
  <c r="Y272" i="1"/>
  <c r="V273" i="1"/>
  <c r="X273" i="1" s="1"/>
  <c r="W273" i="1"/>
  <c r="Y273" i="1" s="1"/>
  <c r="V274" i="1"/>
  <c r="X274" i="1" s="1"/>
  <c r="W274" i="1"/>
  <c r="Y274" i="1"/>
  <c r="V275" i="1"/>
  <c r="X275" i="1" s="1"/>
  <c r="W275" i="1"/>
  <c r="Y275" i="1" s="1"/>
  <c r="V276" i="1"/>
  <c r="X276" i="1" s="1"/>
  <c r="W276" i="1"/>
  <c r="Y276" i="1" s="1"/>
  <c r="V277" i="1"/>
  <c r="X277" i="1" s="1"/>
  <c r="W277" i="1"/>
  <c r="Y277" i="1" s="1"/>
  <c r="V278" i="1"/>
  <c r="X278" i="1" s="1"/>
  <c r="W278" i="1"/>
  <c r="Y278" i="1"/>
  <c r="V279" i="1"/>
  <c r="X279" i="1" s="1"/>
  <c r="W279" i="1"/>
  <c r="Y279" i="1" s="1"/>
  <c r="V280" i="1"/>
  <c r="X280" i="1" s="1"/>
  <c r="W280" i="1"/>
  <c r="Y280" i="1" s="1"/>
  <c r="V281" i="1"/>
  <c r="X281" i="1" s="1"/>
  <c r="W281" i="1"/>
  <c r="Y281" i="1" s="1"/>
  <c r="V282" i="1"/>
  <c r="X282" i="1" s="1"/>
  <c r="W282" i="1"/>
  <c r="Y282" i="1" s="1"/>
  <c r="V283" i="1"/>
  <c r="X283" i="1" s="1"/>
  <c r="W283" i="1"/>
  <c r="Y283" i="1" s="1"/>
  <c r="V284" i="1"/>
  <c r="X284" i="1" s="1"/>
  <c r="W284" i="1"/>
  <c r="Y284" i="1" s="1"/>
  <c r="V285" i="1"/>
  <c r="X285" i="1" s="1"/>
  <c r="W285" i="1"/>
  <c r="Y285" i="1" s="1"/>
  <c r="V286" i="1"/>
  <c r="X286" i="1" s="1"/>
  <c r="W286" i="1"/>
  <c r="Y286" i="1"/>
  <c r="V287" i="1"/>
  <c r="X287" i="1" s="1"/>
  <c r="W287" i="1"/>
  <c r="Y287" i="1" s="1"/>
  <c r="V288" i="1"/>
  <c r="X288" i="1" s="1"/>
  <c r="W288" i="1"/>
  <c r="Y288" i="1"/>
  <c r="V289" i="1"/>
  <c r="X289" i="1" s="1"/>
  <c r="W289" i="1"/>
  <c r="Y289" i="1" s="1"/>
  <c r="V290" i="1"/>
  <c r="X290" i="1" s="1"/>
  <c r="W290" i="1"/>
  <c r="Y290" i="1"/>
  <c r="V291" i="1"/>
  <c r="X291" i="1" s="1"/>
  <c r="W291" i="1"/>
  <c r="Y291" i="1" s="1"/>
  <c r="V292" i="1"/>
  <c r="X292" i="1" s="1"/>
  <c r="W292" i="1"/>
  <c r="Y292" i="1" s="1"/>
  <c r="V293" i="1"/>
  <c r="X293" i="1" s="1"/>
  <c r="W293" i="1"/>
  <c r="Y293" i="1" s="1"/>
  <c r="V294" i="1"/>
  <c r="X294" i="1" s="1"/>
  <c r="W294" i="1"/>
  <c r="Y294" i="1"/>
  <c r="V295" i="1"/>
  <c r="X295" i="1" s="1"/>
  <c r="W295" i="1"/>
  <c r="Y295" i="1" s="1"/>
  <c r="V296" i="1"/>
  <c r="X296" i="1" s="1"/>
  <c r="W296" i="1"/>
  <c r="Y296" i="1" s="1"/>
  <c r="V297" i="1"/>
  <c r="X297" i="1" s="1"/>
  <c r="W297" i="1"/>
  <c r="Y297" i="1" s="1"/>
  <c r="V298" i="1"/>
  <c r="X298" i="1" s="1"/>
  <c r="W298" i="1"/>
  <c r="Y298" i="1" s="1"/>
  <c r="V299" i="1"/>
  <c r="X299" i="1" s="1"/>
  <c r="W299" i="1"/>
  <c r="Y299" i="1" s="1"/>
  <c r="V300" i="1"/>
  <c r="X300" i="1" s="1"/>
  <c r="W300" i="1"/>
  <c r="Y300" i="1" s="1"/>
  <c r="V301" i="1"/>
  <c r="X301" i="1" s="1"/>
  <c r="W301" i="1"/>
  <c r="Y301" i="1" s="1"/>
  <c r="V302" i="1"/>
  <c r="X302" i="1" s="1"/>
  <c r="W302" i="1"/>
  <c r="Y302" i="1"/>
  <c r="V303" i="1"/>
  <c r="X303" i="1" s="1"/>
  <c r="W303" i="1"/>
  <c r="Y303" i="1" s="1"/>
  <c r="V304" i="1"/>
  <c r="X304" i="1" s="1"/>
  <c r="W304" i="1"/>
  <c r="Y304" i="1"/>
  <c r="V305" i="1"/>
  <c r="X305" i="1" s="1"/>
  <c r="W305" i="1"/>
  <c r="Y305" i="1" s="1"/>
  <c r="V306" i="1"/>
  <c r="X306" i="1" s="1"/>
  <c r="W306" i="1"/>
  <c r="Y306" i="1"/>
  <c r="V307" i="1"/>
  <c r="X307" i="1" s="1"/>
  <c r="W307" i="1"/>
  <c r="Y307" i="1" s="1"/>
  <c r="V308" i="1"/>
  <c r="X308" i="1" s="1"/>
  <c r="W308" i="1"/>
  <c r="Y308" i="1" s="1"/>
  <c r="V309" i="1"/>
  <c r="X309" i="1" s="1"/>
  <c r="W309" i="1"/>
  <c r="Y309" i="1" s="1"/>
  <c r="V310" i="1"/>
  <c r="X310" i="1" s="1"/>
  <c r="W310" i="1"/>
  <c r="Y310" i="1"/>
  <c r="V311" i="1"/>
  <c r="X311" i="1" s="1"/>
  <c r="W311" i="1"/>
  <c r="Y311" i="1" s="1"/>
  <c r="V312" i="1"/>
  <c r="X312" i="1" s="1"/>
  <c r="W312" i="1"/>
  <c r="Y312" i="1" s="1"/>
  <c r="V313" i="1"/>
  <c r="X313" i="1" s="1"/>
  <c r="W313" i="1"/>
  <c r="Y313" i="1" s="1"/>
  <c r="V314" i="1"/>
  <c r="X314" i="1" s="1"/>
  <c r="W314" i="1"/>
  <c r="Y314" i="1" s="1"/>
  <c r="V315" i="1"/>
  <c r="X315" i="1" s="1"/>
  <c r="W315" i="1"/>
  <c r="Y315" i="1" s="1"/>
  <c r="V316" i="1"/>
  <c r="X316" i="1" s="1"/>
  <c r="W316" i="1"/>
  <c r="Y316" i="1" s="1"/>
  <c r="V317" i="1"/>
  <c r="X317" i="1" s="1"/>
  <c r="W317" i="1"/>
  <c r="Y317" i="1" s="1"/>
  <c r="V318" i="1"/>
  <c r="X318" i="1" s="1"/>
  <c r="W318" i="1"/>
  <c r="Y318" i="1"/>
  <c r="V319" i="1"/>
  <c r="X319" i="1" s="1"/>
  <c r="W319" i="1"/>
  <c r="Y319" i="1" s="1"/>
  <c r="V320" i="1"/>
  <c r="X320" i="1" s="1"/>
  <c r="W320" i="1"/>
  <c r="Y320" i="1"/>
  <c r="V321" i="1"/>
  <c r="X321" i="1" s="1"/>
  <c r="W321" i="1"/>
  <c r="Y321" i="1" s="1"/>
  <c r="V322" i="1"/>
  <c r="X322" i="1" s="1"/>
  <c r="W322" i="1"/>
  <c r="Y322" i="1"/>
  <c r="V323" i="1"/>
  <c r="X323" i="1" s="1"/>
  <c r="W323" i="1"/>
  <c r="Y323" i="1" s="1"/>
  <c r="V324" i="1"/>
  <c r="X324" i="1" s="1"/>
  <c r="W324" i="1"/>
  <c r="Y324" i="1" s="1"/>
  <c r="V325" i="1"/>
  <c r="X325" i="1" s="1"/>
  <c r="W325" i="1"/>
  <c r="Y325" i="1" s="1"/>
  <c r="V326" i="1"/>
  <c r="W326" i="1"/>
  <c r="X326" i="1"/>
  <c r="Y326" i="1"/>
  <c r="V327" i="1"/>
  <c r="X327" i="1" s="1"/>
  <c r="W327" i="1"/>
  <c r="Y327" i="1" s="1"/>
  <c r="V328" i="1"/>
  <c r="W328" i="1"/>
  <c r="Y328" i="1" s="1"/>
  <c r="X328" i="1"/>
  <c r="V329" i="1"/>
  <c r="X329" i="1" s="1"/>
  <c r="W329" i="1"/>
  <c r="Y329" i="1" s="1"/>
  <c r="V330" i="1"/>
  <c r="X330" i="1" s="1"/>
  <c r="W330" i="1"/>
  <c r="Y330" i="1"/>
  <c r="V331" i="1"/>
  <c r="X331" i="1" s="1"/>
  <c r="W331" i="1"/>
  <c r="Y331" i="1" s="1"/>
  <c r="V332" i="1"/>
  <c r="W332" i="1"/>
  <c r="Y332" i="1" s="1"/>
  <c r="X332" i="1"/>
  <c r="V333" i="1"/>
  <c r="X333" i="1" s="1"/>
  <c r="W333" i="1"/>
  <c r="Y333" i="1" s="1"/>
  <c r="V334" i="1"/>
  <c r="W334" i="1"/>
  <c r="X334" i="1"/>
  <c r="Y334" i="1"/>
  <c r="V335" i="1"/>
  <c r="X335" i="1" s="1"/>
  <c r="W335" i="1"/>
  <c r="Y335" i="1" s="1"/>
  <c r="V336" i="1"/>
  <c r="W336" i="1"/>
  <c r="Y336" i="1" s="1"/>
  <c r="X336" i="1"/>
  <c r="V337" i="1"/>
  <c r="X337" i="1" s="1"/>
  <c r="W337" i="1"/>
  <c r="Y337" i="1" s="1"/>
  <c r="V338" i="1"/>
  <c r="X338" i="1" s="1"/>
  <c r="W338" i="1"/>
  <c r="Y338" i="1"/>
  <c r="V339" i="1"/>
  <c r="X339" i="1" s="1"/>
  <c r="W339" i="1"/>
  <c r="Y339" i="1" s="1"/>
  <c r="V340" i="1"/>
  <c r="W340" i="1"/>
  <c r="Y340" i="1" s="1"/>
  <c r="X340" i="1"/>
  <c r="V341" i="1"/>
  <c r="X341" i="1" s="1"/>
  <c r="W341" i="1"/>
  <c r="Y341" i="1" s="1"/>
  <c r="V342" i="1"/>
  <c r="W342" i="1"/>
  <c r="X342" i="1"/>
  <c r="Y342" i="1"/>
  <c r="V343" i="1"/>
  <c r="X343" i="1" s="1"/>
  <c r="W343" i="1"/>
  <c r="Y343" i="1" s="1"/>
  <c r="V344" i="1"/>
  <c r="W344" i="1"/>
  <c r="Y344" i="1" s="1"/>
  <c r="X344" i="1"/>
  <c r="V345" i="1"/>
  <c r="X345" i="1" s="1"/>
  <c r="W345" i="1"/>
  <c r="Y345" i="1" s="1"/>
  <c r="V346" i="1"/>
  <c r="X346" i="1" s="1"/>
  <c r="W346" i="1"/>
  <c r="Y346" i="1"/>
  <c r="V347" i="1"/>
  <c r="X347" i="1" s="1"/>
  <c r="W347" i="1"/>
  <c r="Y347" i="1" s="1"/>
  <c r="V348" i="1"/>
  <c r="W348" i="1"/>
  <c r="Y348" i="1" s="1"/>
  <c r="X348" i="1"/>
  <c r="V349" i="1"/>
  <c r="X349" i="1" s="1"/>
  <c r="W349" i="1"/>
  <c r="Y349" i="1" s="1"/>
  <c r="V350" i="1"/>
  <c r="W350" i="1"/>
  <c r="X350" i="1"/>
  <c r="Y350" i="1"/>
  <c r="V351" i="1"/>
  <c r="X351" i="1" s="1"/>
  <c r="W351" i="1"/>
  <c r="Y351" i="1" s="1"/>
  <c r="V352" i="1"/>
  <c r="W352" i="1"/>
  <c r="Y352" i="1" s="1"/>
  <c r="X352" i="1"/>
  <c r="V353" i="1"/>
  <c r="X353" i="1" s="1"/>
  <c r="W353" i="1"/>
  <c r="Y353" i="1" s="1"/>
  <c r="V354" i="1"/>
  <c r="X354" i="1" s="1"/>
  <c r="W354" i="1"/>
  <c r="Y354" i="1"/>
  <c r="V355" i="1"/>
  <c r="X355" i="1" s="1"/>
  <c r="W355" i="1"/>
  <c r="Y355" i="1" s="1"/>
  <c r="V356" i="1"/>
  <c r="W356" i="1"/>
  <c r="Y356" i="1" s="1"/>
  <c r="X356" i="1"/>
  <c r="V357" i="1"/>
  <c r="X357" i="1" s="1"/>
  <c r="W357" i="1"/>
  <c r="Y357" i="1" s="1"/>
  <c r="V358" i="1"/>
  <c r="W358" i="1"/>
  <c r="X358" i="1"/>
  <c r="Y358" i="1"/>
  <c r="V359" i="1"/>
  <c r="X359" i="1" s="1"/>
  <c r="W359" i="1"/>
  <c r="Y359" i="1" s="1"/>
  <c r="V360" i="1"/>
  <c r="X360" i="1" s="1"/>
  <c r="W360" i="1"/>
  <c r="Y360" i="1" s="1"/>
  <c r="V361" i="1"/>
  <c r="X361" i="1" s="1"/>
  <c r="W361" i="1"/>
  <c r="Y361" i="1" s="1"/>
  <c r="Y2" i="1"/>
  <c r="X2" i="1"/>
  <c r="W2" i="1"/>
  <c r="V2" i="1"/>
</calcChain>
</file>

<file path=xl/sharedStrings.xml><?xml version="1.0" encoding="utf-8"?>
<sst xmlns="http://schemas.openxmlformats.org/spreadsheetml/2006/main" count="3169" uniqueCount="287">
  <si>
    <t>Sample</t>
  </si>
  <si>
    <t>Site</t>
  </si>
  <si>
    <t>Urban Type</t>
  </si>
  <si>
    <t>Lawn</t>
  </si>
  <si>
    <t>Compost</t>
  </si>
  <si>
    <t>Mulch</t>
  </si>
  <si>
    <t>Native</t>
  </si>
  <si>
    <t>Water</t>
  </si>
  <si>
    <t>Aenigmatias</t>
  </si>
  <si>
    <t>Anevrina</t>
  </si>
  <si>
    <t>Apocephalus aquilonius</t>
  </si>
  <si>
    <t>Apocephalus grandipalpis group</t>
  </si>
  <si>
    <t>Beckerina  brown (sp2)</t>
  </si>
  <si>
    <t>Beckerina yellow (sp1)</t>
  </si>
  <si>
    <t>Chonocephalus bentacaisei</t>
  </si>
  <si>
    <t>Conicera aldrichi</t>
  </si>
  <si>
    <t>Conicera similis</t>
  </si>
  <si>
    <t>Conicera tibialis</t>
  </si>
  <si>
    <t>Diplonevra</t>
  </si>
  <si>
    <t>Dohrniphora cornuta</t>
  </si>
  <si>
    <t>Gymnophora</t>
  </si>
  <si>
    <t>M. agarici</t>
  </si>
  <si>
    <t>M. albicaudata</t>
  </si>
  <si>
    <t>M. arizonensis</t>
  </si>
  <si>
    <t>M. armstrongorum</t>
  </si>
  <si>
    <t xml:space="preserve">M. atrox </t>
  </si>
  <si>
    <t>M. barberi</t>
  </si>
  <si>
    <t>M. basispinata</t>
  </si>
  <si>
    <t>M. berndseni</t>
  </si>
  <si>
    <t>M. bradyi</t>
  </si>
  <si>
    <t>M. brejchaorum</t>
  </si>
  <si>
    <t>M. carthayensis</t>
  </si>
  <si>
    <t>M. cavifemur</t>
  </si>
  <si>
    <t>M. ciancii</t>
  </si>
  <si>
    <t>M. creasoni</t>
  </si>
  <si>
    <t>M. defibaughorum</t>
  </si>
  <si>
    <t>M. donahuei</t>
  </si>
  <si>
    <t>M. francoae</t>
  </si>
  <si>
    <t>M. fujiokai</t>
  </si>
  <si>
    <t>M. glabrifrons</t>
  </si>
  <si>
    <t>M. globipyga</t>
  </si>
  <si>
    <t>M. halterata</t>
  </si>
  <si>
    <t>M. hansonix</t>
  </si>
  <si>
    <t>M. hardingorum</t>
  </si>
  <si>
    <t>M. heini</t>
  </si>
  <si>
    <t>M. hentschkeae</t>
  </si>
  <si>
    <t>M. hirticaudata</t>
  </si>
  <si>
    <t>M. hoffmanorum</t>
  </si>
  <si>
    <t>M. hoggorum</t>
  </si>
  <si>
    <t>M. hoguei</t>
  </si>
  <si>
    <t>M. ilca</t>
  </si>
  <si>
    <t>M. isaacmajorum</t>
  </si>
  <si>
    <t>M. kelleri</t>
  </si>
  <si>
    <t>M. risoria</t>
  </si>
  <si>
    <t>M. largifrontalis</t>
  </si>
  <si>
    <t>M. lombardorum</t>
  </si>
  <si>
    <t>M. marquezi</t>
  </si>
  <si>
    <t>M. mikejohnsoni</t>
  </si>
  <si>
    <t>M. modesta?</t>
  </si>
  <si>
    <t>M. nigra</t>
  </si>
  <si>
    <t>M. oxboroughae</t>
  </si>
  <si>
    <t>M. pisanoi</t>
  </si>
  <si>
    <t>M. pleuralis</t>
  </si>
  <si>
    <t>M. renwickorum</t>
  </si>
  <si>
    <t>M. rodriguezorum</t>
  </si>
  <si>
    <t>M. ruficornis</t>
  </si>
  <si>
    <t>M. rufipes</t>
  </si>
  <si>
    <t>M. sacatelensis</t>
  </si>
  <si>
    <t>M. scalaris</t>
  </si>
  <si>
    <t>M. scutellaris</t>
  </si>
  <si>
    <t>M. seaverorum</t>
  </si>
  <si>
    <t>M. sidneyae</t>
  </si>
  <si>
    <t>M. sordida</t>
  </si>
  <si>
    <t>M. steptoeae</t>
  </si>
  <si>
    <t>M. stoakesi</t>
  </si>
  <si>
    <t>M. sulphurizona</t>
  </si>
  <si>
    <t>M. tecticauda</t>
  </si>
  <si>
    <t>M wiegmanae</t>
  </si>
  <si>
    <t>Metopina sp.</t>
  </si>
  <si>
    <t>Metopina group</t>
  </si>
  <si>
    <t>Microselia sp.</t>
  </si>
  <si>
    <t>Myriophora alexandiae</t>
  </si>
  <si>
    <t>Phalacrotophora halictorum</t>
  </si>
  <si>
    <t>Phora coangustata</t>
  </si>
  <si>
    <t>Phora cristipes</t>
  </si>
  <si>
    <t>Phora sp1</t>
  </si>
  <si>
    <t>Pseudacteon amuletum</t>
  </si>
  <si>
    <t>Pseudacteon californiensis</t>
  </si>
  <si>
    <t>Pseudacteon crawfordi</t>
  </si>
  <si>
    <t>Pseudacteon long setae</t>
  </si>
  <si>
    <t>Puliciphora occidentalis</t>
  </si>
  <si>
    <t>Spiniphora bergenstammi</t>
  </si>
  <si>
    <t>Triphleba</t>
  </si>
  <si>
    <t>Trophodeinus arizonensis</t>
  </si>
  <si>
    <t>Trophodeinus furcatus</t>
  </si>
  <si>
    <t>Veruanus boreotis</t>
  </si>
  <si>
    <t>Agapostemon sp.</t>
  </si>
  <si>
    <t>Andrena sp.</t>
  </si>
  <si>
    <t>Anthophora californica</t>
  </si>
  <si>
    <t>Anthophora urbana</t>
  </si>
  <si>
    <t>Anthophora sp.</t>
  </si>
  <si>
    <t>Apis mellifera</t>
  </si>
  <si>
    <t>Ashmeadiella sp.</t>
  </si>
  <si>
    <t>Ceratina sp.</t>
  </si>
  <si>
    <t>Colletes sp.</t>
  </si>
  <si>
    <t>Conanthalictus</t>
  </si>
  <si>
    <t>Diadasia sp.</t>
  </si>
  <si>
    <t>Eucera sp.</t>
  </si>
  <si>
    <t>Halictus ligatus</t>
  </si>
  <si>
    <t>Halictus tripartitus</t>
  </si>
  <si>
    <t>Hoplitus</t>
  </si>
  <si>
    <t>Hylaeus sp.</t>
  </si>
  <si>
    <t>Lasioglossum (Dialictus) sp.</t>
  </si>
  <si>
    <t>Lasioglossum (Evylaeus) sp.</t>
  </si>
  <si>
    <t>Megachile heriades</t>
  </si>
  <si>
    <t>Megachile sp.</t>
  </si>
  <si>
    <t>Mellisodes sp.</t>
  </si>
  <si>
    <t>Osmia sp.</t>
  </si>
  <si>
    <t>Perdita sp.</t>
  </si>
  <si>
    <t>Sphecodes sp.</t>
  </si>
  <si>
    <t>Xylocopa tabaniformis</t>
  </si>
  <si>
    <t>Allograpta exotica</t>
  </si>
  <si>
    <t>Allograpta obliqua</t>
  </si>
  <si>
    <t>Copestylum fraudulentum</t>
  </si>
  <si>
    <t>Copestylum marginatum</t>
  </si>
  <si>
    <t>Copestylum satur</t>
  </si>
  <si>
    <t>Chrysotoxum sp.</t>
  </si>
  <si>
    <t>Dioprosopa clavata</t>
  </si>
  <si>
    <t>Eumerus funeralis</t>
  </si>
  <si>
    <t>Eumerus narcissa</t>
  </si>
  <si>
    <t>Eupeodes fumipennis</t>
  </si>
  <si>
    <t>Eupeodes luniger</t>
  </si>
  <si>
    <t>Eupeodes pomus</t>
  </si>
  <si>
    <t>E. fumipennis/ pomus</t>
  </si>
  <si>
    <t>Eupeodes volucris</t>
  </si>
  <si>
    <t>Fazia micrura</t>
  </si>
  <si>
    <t>Heringia sp.</t>
  </si>
  <si>
    <t>Nausigaster unimaculata</t>
  </si>
  <si>
    <t>Ocyptamus lemur</t>
  </si>
  <si>
    <t>Orthonevra flukei</t>
  </si>
  <si>
    <t>Paragus haemorrhous</t>
  </si>
  <si>
    <t>Platycheirus obscurus</t>
  </si>
  <si>
    <t>Pseudodoros clavatus</t>
  </si>
  <si>
    <t>Spaerophoira contigua</t>
  </si>
  <si>
    <t>Spaerophoira sulphuripes</t>
  </si>
  <si>
    <t>Syritta pipiens</t>
  </si>
  <si>
    <t>Syrphus opinator</t>
  </si>
  <si>
    <t>Toxomerus marginatus</t>
  </si>
  <si>
    <t>Toxomerus occidentalis</t>
  </si>
  <si>
    <t>Trichopsomyia sp.</t>
  </si>
  <si>
    <t>Amiota picta</t>
  </si>
  <si>
    <t>Chymomyza amoena</t>
  </si>
  <si>
    <t>Drosophila busckii</t>
  </si>
  <si>
    <t>Drosophila flavohirta</t>
  </si>
  <si>
    <t>Drosophila gentica</t>
  </si>
  <si>
    <t>Drosophila immigrans</t>
  </si>
  <si>
    <t>Drosophila melanogaster</t>
  </si>
  <si>
    <t>Drosophila occidentalis</t>
  </si>
  <si>
    <t>Drosophila mel/sim female</t>
  </si>
  <si>
    <t>Drosophila simulans</t>
  </si>
  <si>
    <t>Drosophila suzukii</t>
  </si>
  <si>
    <t>Gitona americana</t>
  </si>
  <si>
    <t>Gitona bivisualis</t>
  </si>
  <si>
    <t>Repleta group</t>
  </si>
  <si>
    <t>Scaptomyza adusta</t>
  </si>
  <si>
    <t>Scaptomyza flava</t>
  </si>
  <si>
    <t>Scaptomyza graminum</t>
  </si>
  <si>
    <t>Scaptomyza paravittata</t>
  </si>
  <si>
    <t>Scaptomyza paradusta</t>
  </si>
  <si>
    <t>Scaptomyza terminalis</t>
  </si>
  <si>
    <t>Scaptomyza vittata</t>
  </si>
  <si>
    <t>Unknown Drosophilid</t>
  </si>
  <si>
    <t>Erioptera (Mesocyphona) distincta</t>
  </si>
  <si>
    <t>Erioptera (Trimicera) pilipes</t>
  </si>
  <si>
    <t>Limonia (Dicranomyia) brevivena</t>
  </si>
  <si>
    <t>Limonia (Geranomyia) guatemalensis</t>
  </si>
  <si>
    <t>Limonia humidicola</t>
  </si>
  <si>
    <t>Nephrotoma suturalis wulpiana</t>
  </si>
  <si>
    <t>Tipula (Lunatipula) atrisumma</t>
  </si>
  <si>
    <t>Tipula (Tipula) oleracea</t>
  </si>
  <si>
    <t>Tipula (Trichotipula) capistrano</t>
  </si>
  <si>
    <t>Tipula (Triplicitipula) planicornis</t>
  </si>
  <si>
    <t>Tipula (Triplicitipula) praecisa</t>
  </si>
  <si>
    <t>Agraulis vanillae</t>
  </si>
  <si>
    <t>Autographa californica</t>
  </si>
  <si>
    <t>Brephidium exile</t>
  </si>
  <si>
    <t>Colias eurytheme</t>
  </si>
  <si>
    <t>Danaus plexippus</t>
  </si>
  <si>
    <t>Dichorda illustraria</t>
  </si>
  <si>
    <t>Erynnis funeralis</t>
  </si>
  <si>
    <t>Hylephila phyleus</t>
  </si>
  <si>
    <t>Hyles lineata</t>
  </si>
  <si>
    <t>Leptotes marina</t>
  </si>
  <si>
    <t>Lerodea eufala</t>
  </si>
  <si>
    <t>Manduca sexta</t>
  </si>
  <si>
    <t>Megalographa biloba</t>
  </si>
  <si>
    <t>Noctua pronuba</t>
  </si>
  <si>
    <t>Papilio cresphontes</t>
  </si>
  <si>
    <t>Papilio zelicaon</t>
  </si>
  <si>
    <t>Pero behrensaria</t>
  </si>
  <si>
    <t>Phoebis sennae</t>
  </si>
  <si>
    <t>Pieris rapae</t>
  </si>
  <si>
    <t>Poanes melane</t>
  </si>
  <si>
    <t>Pontia protodice</t>
  </si>
  <si>
    <t>Pyrgus albescens</t>
  </si>
  <si>
    <t>Strymon melinus</t>
  </si>
  <si>
    <t>Trichoplusia ni</t>
  </si>
  <si>
    <t>Abrhexosa grossa</t>
  </si>
  <si>
    <t>Aztecatopse sp.nov.</t>
  </si>
  <si>
    <t>Coboldia fuscipes</t>
  </si>
  <si>
    <t>Psectrosciara sp.nov.</t>
  </si>
  <si>
    <t>Quateiella quatei</t>
  </si>
  <si>
    <t>Scatopse notata</t>
  </si>
  <si>
    <t>Swammerdamella marginata</t>
  </si>
  <si>
    <t>Jan</t>
  </si>
  <si>
    <t>Low</t>
  </si>
  <si>
    <t>Yes</t>
  </si>
  <si>
    <t>No</t>
  </si>
  <si>
    <t>Feb</t>
  </si>
  <si>
    <t>Mar</t>
  </si>
  <si>
    <t>High</t>
  </si>
  <si>
    <t>Apr</t>
  </si>
  <si>
    <t>Jun</t>
  </si>
  <si>
    <t>Med</t>
  </si>
  <si>
    <t>May</t>
  </si>
  <si>
    <t>Jul</t>
  </si>
  <si>
    <t>Aug</t>
  </si>
  <si>
    <t>Sep</t>
  </si>
  <si>
    <t>Oct</t>
  </si>
  <si>
    <t>Nov</t>
  </si>
  <si>
    <t>Dec</t>
  </si>
  <si>
    <t>Trap Days</t>
  </si>
  <si>
    <t>Month</t>
  </si>
  <si>
    <t>Season</t>
  </si>
  <si>
    <t>Temp Max</t>
  </si>
  <si>
    <t>Temp Min</t>
  </si>
  <si>
    <t>Temp Mean</t>
  </si>
  <si>
    <t>Rh Max</t>
  </si>
  <si>
    <t>Rh Min</t>
  </si>
  <si>
    <t>Rh Mean</t>
  </si>
  <si>
    <t>Photoperiod</t>
  </si>
  <si>
    <t>META DATA</t>
  </si>
  <si>
    <t>Included in this document is a single spread sheet with all the data needed to reproduce the results</t>
  </si>
  <si>
    <t>from Adams et al. 20XX Ecological Applications. Below are descriptions of all relevant terms</t>
  </si>
  <si>
    <t>A running sample number used to organize the data and match to collections stored at LACM</t>
  </si>
  <si>
    <t>A number representing an individual site (treated as a categorical variable)</t>
  </si>
  <si>
    <t>The month in which the colletion was made</t>
  </si>
  <si>
    <t>One of three categorical seasons separated based on insect abundance values</t>
  </si>
  <si>
    <t>One of nine categorical variables describing patterns of urbanization in Los Angeles (from Li et al. 20XX)</t>
  </si>
  <si>
    <t>The number of days a trap was active during a particular sample period</t>
  </si>
  <si>
    <t>The maximum recorded relative humidity during the sample period</t>
  </si>
  <si>
    <t>The minimum recorded relative humidity during the sample period</t>
  </si>
  <si>
    <t>The mean relative humidity calculated during the sample period</t>
  </si>
  <si>
    <t>The maximum recorded air temperature during the sample period (C)</t>
  </si>
  <si>
    <t>The minimum recorded air temperature during the sample period  (C)</t>
  </si>
  <si>
    <t>The mean air temperature calculated during the sample period (C)</t>
  </si>
  <si>
    <t>The mean period of detectable sunlight during the sample period (hours)</t>
  </si>
  <si>
    <t>BROAD-SCALE TIME MEASUREMENTS</t>
  </si>
  <si>
    <t>LOCAL-SCALE ENVIRONMENTAL MEASUREMENTS</t>
  </si>
  <si>
    <t>BROAD-SCALE URBANIZATION CATEGORIES</t>
  </si>
  <si>
    <t>LOCAL-SCALE BINARY SITE DESCRIPTIONS</t>
  </si>
  <si>
    <t>The presence or absence of a turf grass lawn</t>
  </si>
  <si>
    <t>The presence or absence of outdoor compost</t>
  </si>
  <si>
    <t>The presence or absence of outdoor mulch</t>
  </si>
  <si>
    <t>The presence or absence of native plants</t>
  </si>
  <si>
    <t>The presence or absence of drought tolerant plants</t>
  </si>
  <si>
    <t>Drought</t>
  </si>
  <si>
    <t>Whether or not the outdoor environment was subjected to a regular watering regimen (&gt; 1 time/week)</t>
  </si>
  <si>
    <t>SPECIES</t>
  </si>
  <si>
    <t>The remaining information are columns of individual species collected during the project with abundance values for each sample period</t>
  </si>
  <si>
    <t>M. baileyae</t>
  </si>
  <si>
    <t>M. wongae</t>
  </si>
  <si>
    <t>M. shatesae</t>
  </si>
  <si>
    <t>M. pongsaiae</t>
  </si>
  <si>
    <t>M. losangelensis</t>
  </si>
  <si>
    <t>M. gonzalezorum</t>
  </si>
  <si>
    <t>M. friedrichae</t>
  </si>
  <si>
    <t>M. studentorum</t>
  </si>
  <si>
    <t>M. voluntariorum</t>
  </si>
  <si>
    <t>M. joanneae</t>
  </si>
  <si>
    <t>M. phyllissunae</t>
  </si>
  <si>
    <t>Richness</t>
  </si>
  <si>
    <t>Abundance</t>
  </si>
  <si>
    <t>CorRich</t>
  </si>
  <si>
    <t>CorAbun</t>
  </si>
  <si>
    <t>PCA1</t>
  </si>
  <si>
    <t>PCA2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</si>
</sst>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ont="1" applyAlignment="1"/>
    <xf numFmtId="0" fontId="18" fillId="0" borderId="0" xfId="0" applyFont="1" applyAlignment="1"/>
    <xf numFmtId="0" fontId="16" fillId="0" borderId="0" xfId="0" applyFont="1"/>
    <xf numFmtId="0" fontId="20" fillId="0" borderId="0" xfId="0" applyFont="1"/>
    <xf numFmtId="0" fontId="0" fillId="0" borderId="0" xfId="0" applyFont="1"/>
    <xf numFmtId="0" fontId="19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12B5-E9D2-4C68-900D-09FF10156E44}">
  <dimension ref="A1:J36"/>
  <sheetViews>
    <sheetView topLeftCell="A7" workbookViewId="0">
      <selection activeCell="A37" sqref="A37"/>
    </sheetView>
  </sheetViews>
  <sheetFormatPr defaultRowHeight="15" x14ac:dyDescent="0.25"/>
  <cols>
    <col min="1" max="1" width="10.7109375" customWidth="1"/>
  </cols>
  <sheetData>
    <row r="1" spans="1:10" ht="18.75" x14ac:dyDescent="0.3">
      <c r="A1" s="6" t="s">
        <v>241</v>
      </c>
      <c r="B1" s="6"/>
    </row>
    <row r="2" spans="1:10" x14ac:dyDescent="0.25">
      <c r="A2" s="7" t="s">
        <v>242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243</v>
      </c>
      <c r="B3" s="7"/>
      <c r="C3" s="7"/>
      <c r="D3" s="7"/>
      <c r="E3" s="7"/>
      <c r="F3" s="7"/>
      <c r="G3" s="7"/>
      <c r="H3" s="7"/>
      <c r="I3" s="7"/>
    </row>
    <row r="7" spans="1:10" x14ac:dyDescent="0.25">
      <c r="A7" s="3" t="s">
        <v>0</v>
      </c>
      <c r="B7" t="s">
        <v>244</v>
      </c>
    </row>
    <row r="8" spans="1:10" x14ac:dyDescent="0.25">
      <c r="A8" s="3" t="s">
        <v>1</v>
      </c>
      <c r="B8" t="s">
        <v>245</v>
      </c>
    </row>
    <row r="9" spans="1:10" x14ac:dyDescent="0.25">
      <c r="A9" s="3" t="s">
        <v>231</v>
      </c>
      <c r="B9" t="s">
        <v>249</v>
      </c>
    </row>
    <row r="10" spans="1:10" x14ac:dyDescent="0.25">
      <c r="A10" s="3"/>
    </row>
    <row r="11" spans="1:10" x14ac:dyDescent="0.25">
      <c r="A11" s="4" t="s">
        <v>257</v>
      </c>
    </row>
    <row r="12" spans="1:10" x14ac:dyDescent="0.25">
      <c r="A12" s="3" t="s">
        <v>232</v>
      </c>
      <c r="B12" t="s">
        <v>246</v>
      </c>
    </row>
    <row r="13" spans="1:10" x14ac:dyDescent="0.25">
      <c r="A13" s="3" t="s">
        <v>233</v>
      </c>
      <c r="B13" t="s">
        <v>247</v>
      </c>
    </row>
    <row r="14" spans="1:10" x14ac:dyDescent="0.25">
      <c r="A14" s="3"/>
    </row>
    <row r="15" spans="1:10" x14ac:dyDescent="0.25">
      <c r="A15" s="4" t="s">
        <v>259</v>
      </c>
    </row>
    <row r="16" spans="1:10" x14ac:dyDescent="0.25">
      <c r="A16" s="3" t="s">
        <v>2</v>
      </c>
      <c r="B16" t="s">
        <v>248</v>
      </c>
    </row>
    <row r="17" spans="1:2" x14ac:dyDescent="0.25">
      <c r="A17" s="3"/>
    </row>
    <row r="18" spans="1:2" x14ac:dyDescent="0.25">
      <c r="A18" s="4" t="s">
        <v>258</v>
      </c>
    </row>
    <row r="19" spans="1:2" x14ac:dyDescent="0.25">
      <c r="A19" s="3" t="s">
        <v>234</v>
      </c>
      <c r="B19" t="s">
        <v>253</v>
      </c>
    </row>
    <row r="20" spans="1:2" x14ac:dyDescent="0.25">
      <c r="A20" s="3" t="s">
        <v>235</v>
      </c>
      <c r="B20" t="s">
        <v>254</v>
      </c>
    </row>
    <row r="21" spans="1:2" x14ac:dyDescent="0.25">
      <c r="A21" s="3" t="s">
        <v>236</v>
      </c>
      <c r="B21" t="s">
        <v>255</v>
      </c>
    </row>
    <row r="22" spans="1:2" x14ac:dyDescent="0.25">
      <c r="A22" s="3" t="s">
        <v>237</v>
      </c>
      <c r="B22" t="s">
        <v>250</v>
      </c>
    </row>
    <row r="23" spans="1:2" x14ac:dyDescent="0.25">
      <c r="A23" s="3" t="s">
        <v>238</v>
      </c>
      <c r="B23" t="s">
        <v>251</v>
      </c>
    </row>
    <row r="24" spans="1:2" x14ac:dyDescent="0.25">
      <c r="A24" s="3" t="s">
        <v>239</v>
      </c>
      <c r="B24" t="s">
        <v>252</v>
      </c>
    </row>
    <row r="25" spans="1:2" x14ac:dyDescent="0.25">
      <c r="A25" s="3" t="s">
        <v>240</v>
      </c>
      <c r="B25" t="s">
        <v>256</v>
      </c>
    </row>
    <row r="26" spans="1:2" x14ac:dyDescent="0.25">
      <c r="A26" s="3"/>
    </row>
    <row r="27" spans="1:2" x14ac:dyDescent="0.25">
      <c r="A27" s="4" t="s">
        <v>260</v>
      </c>
    </row>
    <row r="28" spans="1:2" x14ac:dyDescent="0.25">
      <c r="A28" s="3" t="s">
        <v>3</v>
      </c>
      <c r="B28" t="s">
        <v>261</v>
      </c>
    </row>
    <row r="29" spans="1:2" x14ac:dyDescent="0.25">
      <c r="A29" s="3" t="s">
        <v>4</v>
      </c>
      <c r="B29" t="s">
        <v>262</v>
      </c>
    </row>
    <row r="30" spans="1:2" x14ac:dyDescent="0.25">
      <c r="A30" s="3" t="s">
        <v>5</v>
      </c>
      <c r="B30" t="s">
        <v>263</v>
      </c>
    </row>
    <row r="31" spans="1:2" x14ac:dyDescent="0.25">
      <c r="A31" s="3" t="s">
        <v>266</v>
      </c>
      <c r="B31" t="s">
        <v>265</v>
      </c>
    </row>
    <row r="32" spans="1:2" x14ac:dyDescent="0.25">
      <c r="A32" s="3" t="s">
        <v>6</v>
      </c>
      <c r="B32" t="s">
        <v>264</v>
      </c>
    </row>
    <row r="33" spans="1:2" x14ac:dyDescent="0.25">
      <c r="A33" s="3" t="s">
        <v>7</v>
      </c>
      <c r="B33" s="5" t="s">
        <v>267</v>
      </c>
    </row>
    <row r="35" spans="1:2" x14ac:dyDescent="0.25">
      <c r="A35" s="4" t="s">
        <v>268</v>
      </c>
    </row>
    <row r="36" spans="1:2" x14ac:dyDescent="0.25">
      <c r="A36" s="5" t="s">
        <v>269</v>
      </c>
    </row>
  </sheetData>
  <mergeCells count="3">
    <mergeCell ref="A1:B1"/>
    <mergeCell ref="A2:J2"/>
    <mergeCell ref="A3:I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361"/>
  <sheetViews>
    <sheetView tabSelected="1" workbookViewId="0">
      <selection activeCell="O7" sqref="O7"/>
    </sheetView>
  </sheetViews>
  <sheetFormatPr defaultRowHeight="15" x14ac:dyDescent="0.25"/>
  <cols>
    <col min="6" max="6" width="11" bestFit="1" customWidth="1"/>
    <col min="7" max="9" width="12" bestFit="1" customWidth="1"/>
    <col min="13" max="13" width="12.140625" bestFit="1" customWidth="1"/>
  </cols>
  <sheetData>
    <row r="1" spans="1:242" x14ac:dyDescent="0.25">
      <c r="A1" t="s">
        <v>0</v>
      </c>
      <c r="B1" t="s">
        <v>1</v>
      </c>
      <c r="C1" t="s">
        <v>231</v>
      </c>
      <c r="D1" t="s">
        <v>232</v>
      </c>
      <c r="E1" t="s">
        <v>233</v>
      </c>
      <c r="F1" t="s">
        <v>2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285</v>
      </c>
      <c r="O1" t="s">
        <v>286</v>
      </c>
      <c r="P1" t="s">
        <v>3</v>
      </c>
      <c r="Q1" t="s">
        <v>4</v>
      </c>
      <c r="R1" t="s">
        <v>5</v>
      </c>
      <c r="S1" t="s">
        <v>266</v>
      </c>
      <c r="T1" t="s">
        <v>6</v>
      </c>
      <c r="U1" t="s">
        <v>7</v>
      </c>
      <c r="V1" t="s">
        <v>281</v>
      </c>
      <c r="W1" t="s">
        <v>282</v>
      </c>
      <c r="X1" t="s">
        <v>283</v>
      </c>
      <c r="Y1" t="s">
        <v>284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270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  <c r="BB1" s="1" t="s">
        <v>271</v>
      </c>
      <c r="BC1" s="1" t="s">
        <v>272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273</v>
      </c>
      <c r="BI1" s="1" t="s">
        <v>274</v>
      </c>
      <c r="BJ1" s="1" t="s">
        <v>39</v>
      </c>
      <c r="BK1" s="1" t="s">
        <v>40</v>
      </c>
      <c r="BL1" s="1" t="s">
        <v>41</v>
      </c>
      <c r="BM1" s="1" t="s">
        <v>42</v>
      </c>
      <c r="BN1" s="1" t="s">
        <v>43</v>
      </c>
      <c r="BO1" s="1" t="s">
        <v>44</v>
      </c>
      <c r="BP1" s="1" t="s">
        <v>45</v>
      </c>
      <c r="BQ1" s="1" t="s">
        <v>46</v>
      </c>
      <c r="BR1" s="1" t="s">
        <v>47</v>
      </c>
      <c r="BS1" s="1" t="s">
        <v>48</v>
      </c>
      <c r="BT1" s="1" t="s">
        <v>49</v>
      </c>
      <c r="BU1" s="1" t="s">
        <v>50</v>
      </c>
      <c r="BV1" s="1" t="s">
        <v>51</v>
      </c>
      <c r="BW1" s="1" t="s">
        <v>52</v>
      </c>
      <c r="BX1" s="1" t="s">
        <v>53</v>
      </c>
      <c r="BY1" s="1" t="s">
        <v>54</v>
      </c>
      <c r="BZ1" s="1" t="s">
        <v>55</v>
      </c>
      <c r="CA1" s="1" t="s">
        <v>56</v>
      </c>
      <c r="CB1" s="1" t="s">
        <v>57</v>
      </c>
      <c r="CC1" s="1" t="s">
        <v>58</v>
      </c>
      <c r="CD1" s="1" t="s">
        <v>59</v>
      </c>
      <c r="CE1" s="1" t="s">
        <v>275</v>
      </c>
      <c r="CF1" s="1" t="s">
        <v>276</v>
      </c>
      <c r="CG1" s="1" t="s">
        <v>60</v>
      </c>
      <c r="CH1" s="1" t="s">
        <v>61</v>
      </c>
      <c r="CI1" s="1" t="s">
        <v>62</v>
      </c>
      <c r="CJ1" s="1" t="s">
        <v>63</v>
      </c>
      <c r="CK1" s="1" t="s">
        <v>64</v>
      </c>
      <c r="CL1" s="1" t="s">
        <v>65</v>
      </c>
      <c r="CM1" s="1" t="s">
        <v>66</v>
      </c>
      <c r="CN1" s="1" t="s">
        <v>67</v>
      </c>
      <c r="CO1" s="1" t="s">
        <v>68</v>
      </c>
      <c r="CP1" s="1" t="s">
        <v>69</v>
      </c>
      <c r="CQ1" s="1" t="s">
        <v>70</v>
      </c>
      <c r="CR1" s="1" t="s">
        <v>71</v>
      </c>
      <c r="CS1" s="1" t="s">
        <v>72</v>
      </c>
      <c r="CT1" s="1" t="s">
        <v>73</v>
      </c>
      <c r="CU1" s="1" t="s">
        <v>74</v>
      </c>
      <c r="CV1" s="1" t="s">
        <v>75</v>
      </c>
      <c r="CW1" s="1" t="s">
        <v>76</v>
      </c>
      <c r="CX1" s="1" t="s">
        <v>277</v>
      </c>
      <c r="CY1" s="1" t="s">
        <v>278</v>
      </c>
      <c r="CZ1" s="1" t="s">
        <v>279</v>
      </c>
      <c r="DA1" s="1" t="s">
        <v>280</v>
      </c>
      <c r="DB1" s="1" t="s">
        <v>77</v>
      </c>
      <c r="DC1" s="1" t="s">
        <v>78</v>
      </c>
      <c r="DD1" s="1" t="s">
        <v>79</v>
      </c>
      <c r="DE1" s="1" t="s">
        <v>80</v>
      </c>
      <c r="DF1" s="1" t="s">
        <v>81</v>
      </c>
      <c r="DG1" s="1" t="s">
        <v>82</v>
      </c>
      <c r="DH1" s="1" t="s">
        <v>83</v>
      </c>
      <c r="DI1" s="1" t="s">
        <v>84</v>
      </c>
      <c r="DJ1" s="1" t="s">
        <v>85</v>
      </c>
      <c r="DK1" s="1" t="s">
        <v>86</v>
      </c>
      <c r="DL1" s="1" t="s">
        <v>87</v>
      </c>
      <c r="DM1" s="1" t="s">
        <v>88</v>
      </c>
      <c r="DN1" s="1" t="s">
        <v>89</v>
      </c>
      <c r="DO1" s="1" t="s">
        <v>90</v>
      </c>
      <c r="DP1" s="1" t="s">
        <v>91</v>
      </c>
      <c r="DQ1" s="1" t="s">
        <v>92</v>
      </c>
      <c r="DR1" s="1" t="s">
        <v>93</v>
      </c>
      <c r="DS1" s="1" t="s">
        <v>94</v>
      </c>
      <c r="DT1" s="1" t="s">
        <v>95</v>
      </c>
      <c r="DU1" s="1" t="s">
        <v>96</v>
      </c>
      <c r="DV1" s="1" t="s">
        <v>97</v>
      </c>
      <c r="DW1" s="1" t="s">
        <v>98</v>
      </c>
      <c r="DX1" s="1" t="s">
        <v>99</v>
      </c>
      <c r="DY1" s="1" t="s">
        <v>100</v>
      </c>
      <c r="DZ1" s="1" t="s">
        <v>101</v>
      </c>
      <c r="EA1" s="1" t="s">
        <v>102</v>
      </c>
      <c r="EB1" s="1" t="s">
        <v>103</v>
      </c>
      <c r="EC1" s="1" t="s">
        <v>104</v>
      </c>
      <c r="ED1" s="1" t="s">
        <v>105</v>
      </c>
      <c r="EE1" s="1" t="s">
        <v>106</v>
      </c>
      <c r="EF1" s="1" t="s">
        <v>107</v>
      </c>
      <c r="EG1" s="1" t="s">
        <v>108</v>
      </c>
      <c r="EH1" s="1" t="s">
        <v>109</v>
      </c>
      <c r="EI1" s="1" t="s">
        <v>110</v>
      </c>
      <c r="EJ1" s="1" t="s">
        <v>111</v>
      </c>
      <c r="EK1" s="1" t="s">
        <v>112</v>
      </c>
      <c r="EL1" s="1" t="s">
        <v>113</v>
      </c>
      <c r="EM1" s="1" t="s">
        <v>114</v>
      </c>
      <c r="EN1" s="1" t="s">
        <v>115</v>
      </c>
      <c r="EO1" s="1" t="s">
        <v>116</v>
      </c>
      <c r="EP1" s="1" t="s">
        <v>117</v>
      </c>
      <c r="EQ1" s="1" t="s">
        <v>118</v>
      </c>
      <c r="ER1" s="1" t="s">
        <v>119</v>
      </c>
      <c r="ES1" s="1" t="s">
        <v>120</v>
      </c>
      <c r="ET1" s="1" t="s">
        <v>121</v>
      </c>
      <c r="EU1" s="1" t="s">
        <v>122</v>
      </c>
      <c r="EV1" s="1" t="s">
        <v>123</v>
      </c>
      <c r="EW1" s="1" t="s">
        <v>124</v>
      </c>
      <c r="EX1" s="1" t="s">
        <v>125</v>
      </c>
      <c r="EY1" s="1" t="s">
        <v>126</v>
      </c>
      <c r="EZ1" s="1" t="s">
        <v>127</v>
      </c>
      <c r="FA1" s="1" t="s">
        <v>128</v>
      </c>
      <c r="FB1" s="1" t="s">
        <v>129</v>
      </c>
      <c r="FC1" s="1" t="s">
        <v>130</v>
      </c>
      <c r="FD1" s="1" t="s">
        <v>131</v>
      </c>
      <c r="FE1" s="1" t="s">
        <v>132</v>
      </c>
      <c r="FF1" s="1" t="s">
        <v>133</v>
      </c>
      <c r="FG1" s="1" t="s">
        <v>134</v>
      </c>
      <c r="FH1" s="1" t="s">
        <v>135</v>
      </c>
      <c r="FI1" s="1" t="s">
        <v>136</v>
      </c>
      <c r="FJ1" s="1" t="s">
        <v>137</v>
      </c>
      <c r="FK1" s="1" t="s">
        <v>138</v>
      </c>
      <c r="FL1" s="1" t="s">
        <v>139</v>
      </c>
      <c r="FM1" s="1" t="s">
        <v>140</v>
      </c>
      <c r="FN1" s="1" t="s">
        <v>141</v>
      </c>
      <c r="FO1" s="1" t="s">
        <v>142</v>
      </c>
      <c r="FP1" s="1" t="s">
        <v>143</v>
      </c>
      <c r="FQ1" s="1" t="s">
        <v>144</v>
      </c>
      <c r="FR1" s="1" t="s">
        <v>145</v>
      </c>
      <c r="FS1" s="1" t="s">
        <v>146</v>
      </c>
      <c r="FT1" s="1" t="s">
        <v>147</v>
      </c>
      <c r="FU1" s="1" t="s">
        <v>148</v>
      </c>
      <c r="FV1" s="1" t="s">
        <v>149</v>
      </c>
      <c r="FW1" s="1" t="s">
        <v>150</v>
      </c>
      <c r="FX1" s="1" t="s">
        <v>151</v>
      </c>
      <c r="FY1" s="1" t="s">
        <v>152</v>
      </c>
      <c r="FZ1" s="1" t="s">
        <v>153</v>
      </c>
      <c r="GA1" s="1" t="s">
        <v>154</v>
      </c>
      <c r="GB1" s="1" t="s">
        <v>155</v>
      </c>
      <c r="GC1" s="1" t="s">
        <v>156</v>
      </c>
      <c r="GD1" s="1" t="s">
        <v>157</v>
      </c>
      <c r="GE1" s="1" t="s">
        <v>158</v>
      </c>
      <c r="GF1" s="1" t="s">
        <v>159</v>
      </c>
      <c r="GG1" s="1" t="s">
        <v>160</v>
      </c>
      <c r="GH1" s="1" t="s">
        <v>161</v>
      </c>
      <c r="GI1" s="1" t="s">
        <v>162</v>
      </c>
      <c r="GJ1" s="1" t="s">
        <v>163</v>
      </c>
      <c r="GK1" s="1" t="s">
        <v>164</v>
      </c>
      <c r="GL1" s="1" t="s">
        <v>165</v>
      </c>
      <c r="GM1" s="1" t="s">
        <v>166</v>
      </c>
      <c r="GN1" s="1" t="s">
        <v>167</v>
      </c>
      <c r="GO1" s="1" t="s">
        <v>168</v>
      </c>
      <c r="GP1" s="1" t="s">
        <v>169</v>
      </c>
      <c r="GQ1" s="1" t="s">
        <v>170</v>
      </c>
      <c r="GR1" s="2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177</v>
      </c>
      <c r="GY1" t="s">
        <v>178</v>
      </c>
      <c r="GZ1" t="s">
        <v>179</v>
      </c>
      <c r="HA1" t="s">
        <v>180</v>
      </c>
      <c r="HB1" t="s">
        <v>181</v>
      </c>
      <c r="HC1" t="s">
        <v>182</v>
      </c>
      <c r="HD1" t="s">
        <v>183</v>
      </c>
      <c r="HE1" t="s">
        <v>184</v>
      </c>
      <c r="HF1" t="s">
        <v>185</v>
      </c>
      <c r="HG1" t="s">
        <v>186</v>
      </c>
      <c r="HH1" t="s">
        <v>187</v>
      </c>
      <c r="HI1" t="s">
        <v>188</v>
      </c>
      <c r="HJ1" t="s">
        <v>189</v>
      </c>
      <c r="HK1" t="s">
        <v>190</v>
      </c>
      <c r="HL1" t="s">
        <v>191</v>
      </c>
      <c r="HM1" t="s">
        <v>192</v>
      </c>
      <c r="HN1" t="s">
        <v>193</v>
      </c>
      <c r="HO1" t="s">
        <v>194</v>
      </c>
      <c r="HP1" t="s">
        <v>195</v>
      </c>
      <c r="HQ1" t="s">
        <v>196</v>
      </c>
      <c r="HR1" t="s">
        <v>197</v>
      </c>
      <c r="HS1" t="s">
        <v>198</v>
      </c>
      <c r="HT1" t="s">
        <v>199</v>
      </c>
      <c r="HU1" t="s">
        <v>200</v>
      </c>
      <c r="HV1" t="s">
        <v>201</v>
      </c>
      <c r="HW1" t="s">
        <v>202</v>
      </c>
      <c r="HX1" t="s">
        <v>203</v>
      </c>
      <c r="HY1" t="s">
        <v>204</v>
      </c>
      <c r="HZ1" t="s">
        <v>205</v>
      </c>
      <c r="IA1" t="s">
        <v>206</v>
      </c>
      <c r="IB1" t="s">
        <v>207</v>
      </c>
      <c r="IC1" t="s">
        <v>208</v>
      </c>
      <c r="ID1" t="s">
        <v>209</v>
      </c>
      <c r="IE1" t="s">
        <v>210</v>
      </c>
      <c r="IF1" t="s">
        <v>211</v>
      </c>
      <c r="IG1" t="s">
        <v>212</v>
      </c>
      <c r="IH1" t="s">
        <v>213</v>
      </c>
    </row>
    <row r="2" spans="1:242" x14ac:dyDescent="0.25">
      <c r="A2">
        <v>15419</v>
      </c>
      <c r="B2">
        <v>5</v>
      </c>
      <c r="C2">
        <v>7</v>
      </c>
      <c r="D2" t="s">
        <v>214</v>
      </c>
      <c r="E2" t="s">
        <v>215</v>
      </c>
      <c r="F2">
        <v>3</v>
      </c>
      <c r="G2">
        <v>29.471499999999999</v>
      </c>
      <c r="H2">
        <v>8.5164166669999997</v>
      </c>
      <c r="I2">
        <v>16.12930952</v>
      </c>
      <c r="J2">
        <v>94.275000000000006</v>
      </c>
      <c r="K2">
        <v>10.9</v>
      </c>
      <c r="L2">
        <v>41.658779760000002</v>
      </c>
      <c r="M2">
        <v>10.05777196</v>
      </c>
      <c r="N2">
        <v>-0.629</v>
      </c>
      <c r="O2">
        <v>-2.5499999999999998</v>
      </c>
      <c r="P2" t="s">
        <v>216</v>
      </c>
      <c r="Q2" t="s">
        <v>216</v>
      </c>
      <c r="R2" t="s">
        <v>216</v>
      </c>
      <c r="S2" t="s">
        <v>217</v>
      </c>
      <c r="T2" t="s">
        <v>217</v>
      </c>
      <c r="U2" t="s">
        <v>216</v>
      </c>
      <c r="V2">
        <f>COUNTIF(Z2:IH2, "&gt;0")</f>
        <v>30</v>
      </c>
      <c r="W2">
        <f>SUM(Z2:IH2)</f>
        <v>256</v>
      </c>
      <c r="X2">
        <f>V2/C2</f>
        <v>4.2857142857142856</v>
      </c>
      <c r="Y2">
        <f>W2/C2</f>
        <v>36.571428571428569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4</v>
      </c>
      <c r="AG2" s="1">
        <v>0</v>
      </c>
      <c r="AH2" s="1">
        <v>4</v>
      </c>
      <c r="AI2" s="1">
        <v>0</v>
      </c>
      <c r="AJ2" s="1">
        <v>1</v>
      </c>
      <c r="AK2" s="1">
        <v>2</v>
      </c>
      <c r="AL2" s="1">
        <v>0</v>
      </c>
      <c r="AM2" s="1">
        <v>11</v>
      </c>
      <c r="AN2" s="1">
        <v>0</v>
      </c>
      <c r="AO2" s="1">
        <v>0</v>
      </c>
      <c r="AP2" s="1">
        <v>1</v>
      </c>
      <c r="AQ2" s="1">
        <v>0</v>
      </c>
      <c r="AR2" s="1">
        <v>2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</v>
      </c>
      <c r="BN2" s="1">
        <v>0</v>
      </c>
      <c r="BO2" s="1">
        <v>1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2</v>
      </c>
      <c r="BZ2" s="1">
        <v>9</v>
      </c>
      <c r="CA2" s="1">
        <v>0</v>
      </c>
      <c r="CB2" s="1">
        <v>0</v>
      </c>
      <c r="CC2" s="1">
        <v>0</v>
      </c>
      <c r="CD2" s="1">
        <v>20</v>
      </c>
      <c r="CE2" s="1">
        <v>0</v>
      </c>
      <c r="CF2" s="1">
        <v>0</v>
      </c>
      <c r="CG2" s="1">
        <v>0</v>
      </c>
      <c r="CH2" s="1">
        <v>0</v>
      </c>
      <c r="CI2" s="1">
        <v>4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1</v>
      </c>
      <c r="CU2" s="1">
        <v>0</v>
      </c>
      <c r="CV2" s="1">
        <v>5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5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1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1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33</v>
      </c>
      <c r="GB2" s="1">
        <v>25</v>
      </c>
      <c r="GC2" s="1">
        <v>0</v>
      </c>
      <c r="GD2" s="1">
        <v>0</v>
      </c>
      <c r="GE2" s="1">
        <v>29</v>
      </c>
      <c r="GF2" s="1">
        <v>63</v>
      </c>
      <c r="GG2" s="1">
        <v>13</v>
      </c>
      <c r="GH2" s="1">
        <v>0</v>
      </c>
      <c r="GI2" s="1">
        <v>0</v>
      </c>
      <c r="GJ2" s="1">
        <v>4</v>
      </c>
      <c r="GK2" s="1">
        <v>0</v>
      </c>
      <c r="GL2" s="1">
        <v>0</v>
      </c>
      <c r="GM2" s="1">
        <v>0</v>
      </c>
      <c r="GN2" s="1">
        <v>0</v>
      </c>
      <c r="GO2" s="1">
        <v>1</v>
      </c>
      <c r="GP2" s="1">
        <v>1</v>
      </c>
      <c r="GQ2" s="1">
        <v>0</v>
      </c>
      <c r="GR2" s="1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9</v>
      </c>
      <c r="IG2">
        <v>0</v>
      </c>
      <c r="IH2">
        <v>0</v>
      </c>
    </row>
    <row r="3" spans="1:242" x14ac:dyDescent="0.25">
      <c r="A3">
        <v>15426</v>
      </c>
      <c r="B3">
        <v>10</v>
      </c>
      <c r="C3">
        <v>7</v>
      </c>
      <c r="D3" t="s">
        <v>214</v>
      </c>
      <c r="E3" t="s">
        <v>215</v>
      </c>
      <c r="F3">
        <v>8</v>
      </c>
      <c r="G3">
        <v>33.387500000000003</v>
      </c>
      <c r="H3">
        <v>4.2109166670000002</v>
      </c>
      <c r="I3">
        <v>14.001960499999999</v>
      </c>
      <c r="J3">
        <v>99.224999999999994</v>
      </c>
      <c r="K3">
        <v>9.6166666670000005</v>
      </c>
      <c r="L3">
        <v>64.325437410000006</v>
      </c>
      <c r="M3">
        <v>10.06396384</v>
      </c>
      <c r="N3">
        <v>-1.97</v>
      </c>
      <c r="O3">
        <v>-2.06</v>
      </c>
      <c r="P3" t="s">
        <v>216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>
        <f t="shared" ref="V3:V66" si="0">COUNTIF(Z3:IH3, "&gt;0")</f>
        <v>3</v>
      </c>
      <c r="W3">
        <f t="shared" ref="W3:W66" si="1">SUM(Z3:IH3)</f>
        <v>8</v>
      </c>
      <c r="X3">
        <f t="shared" ref="X3:X66" si="2">V3/C3</f>
        <v>0.42857142857142855</v>
      </c>
      <c r="Y3">
        <f t="shared" ref="Y3:Y66" si="3">W3/C3</f>
        <v>1.1428571428571428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2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4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2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</row>
    <row r="4" spans="1:242" x14ac:dyDescent="0.25">
      <c r="A4">
        <v>15438</v>
      </c>
      <c r="B4">
        <v>19</v>
      </c>
      <c r="C4">
        <v>7</v>
      </c>
      <c r="D4" t="s">
        <v>214</v>
      </c>
      <c r="E4" t="s">
        <v>215</v>
      </c>
      <c r="F4">
        <v>9</v>
      </c>
      <c r="G4">
        <v>28.522500000000001</v>
      </c>
      <c r="H4">
        <v>5.4580000000000002</v>
      </c>
      <c r="I4">
        <v>13.79680357</v>
      </c>
      <c r="J4">
        <v>97.708333330000002</v>
      </c>
      <c r="K4">
        <v>12.05</v>
      </c>
      <c r="L4">
        <v>63.475099210000003</v>
      </c>
      <c r="M4">
        <v>10.060418990000001</v>
      </c>
      <c r="N4">
        <v>-2.2400000000000002</v>
      </c>
      <c r="O4">
        <v>-1.86</v>
      </c>
      <c r="P4" t="s">
        <v>217</v>
      </c>
      <c r="Q4" t="s">
        <v>216</v>
      </c>
      <c r="R4" t="s">
        <v>216</v>
      </c>
      <c r="S4" t="s">
        <v>216</v>
      </c>
      <c r="T4" t="s">
        <v>216</v>
      </c>
      <c r="U4" t="s">
        <v>216</v>
      </c>
      <c r="V4">
        <f t="shared" si="0"/>
        <v>22</v>
      </c>
      <c r="W4">
        <f t="shared" si="1"/>
        <v>96</v>
      </c>
      <c r="X4">
        <f t="shared" si="2"/>
        <v>3.1428571428571428</v>
      </c>
      <c r="Y4">
        <f t="shared" si="3"/>
        <v>13.714285714285714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3</v>
      </c>
      <c r="AI4" s="1">
        <v>1</v>
      </c>
      <c r="AJ4" s="1">
        <v>0</v>
      </c>
      <c r="AK4" s="1">
        <v>0</v>
      </c>
      <c r="AL4" s="1">
        <v>0</v>
      </c>
      <c r="AM4" s="1">
        <v>23</v>
      </c>
      <c r="AN4" s="1">
        <v>4</v>
      </c>
      <c r="AO4" s="1">
        <v>0</v>
      </c>
      <c r="AP4" s="1">
        <v>10</v>
      </c>
      <c r="AQ4" s="1">
        <v>0</v>
      </c>
      <c r="AR4" s="1">
        <v>0</v>
      </c>
      <c r="AS4" s="1">
        <v>2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0</v>
      </c>
      <c r="BO4" s="1">
        <v>1</v>
      </c>
      <c r="BP4" s="1">
        <v>3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16</v>
      </c>
      <c r="CA4" s="1">
        <v>2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11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5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2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1</v>
      </c>
      <c r="FZ4" s="1">
        <v>1</v>
      </c>
      <c r="GA4" s="1">
        <v>2</v>
      </c>
      <c r="GB4" s="1">
        <v>3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2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1</v>
      </c>
      <c r="GQ4" s="1">
        <v>0</v>
      </c>
      <c r="GR4" s="1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</row>
    <row r="5" spans="1:242" x14ac:dyDescent="0.25">
      <c r="A5">
        <v>15443</v>
      </c>
      <c r="B5">
        <v>4</v>
      </c>
      <c r="C5">
        <v>9</v>
      </c>
      <c r="D5" t="s">
        <v>214</v>
      </c>
      <c r="E5" t="s">
        <v>215</v>
      </c>
      <c r="F5">
        <v>4</v>
      </c>
      <c r="G5">
        <v>24.367583329999999</v>
      </c>
      <c r="H5">
        <v>9.4495833329999996</v>
      </c>
      <c r="I5">
        <v>14.75378373</v>
      </c>
      <c r="J5">
        <v>92.058333329999996</v>
      </c>
      <c r="K5">
        <v>15.06666667</v>
      </c>
      <c r="L5">
        <v>42.922321429999997</v>
      </c>
      <c r="M5">
        <v>10.05583189</v>
      </c>
      <c r="N5">
        <v>-1.1000000000000001</v>
      </c>
      <c r="O5">
        <v>-2.31</v>
      </c>
      <c r="P5" t="s">
        <v>216</v>
      </c>
      <c r="Q5" t="s">
        <v>217</v>
      </c>
      <c r="R5" t="s">
        <v>216</v>
      </c>
      <c r="S5" t="s">
        <v>217</v>
      </c>
      <c r="T5" t="s">
        <v>217</v>
      </c>
      <c r="U5" t="s">
        <v>216</v>
      </c>
      <c r="V5">
        <f t="shared" si="0"/>
        <v>2</v>
      </c>
      <c r="W5">
        <f t="shared" si="1"/>
        <v>3</v>
      </c>
      <c r="X5">
        <f t="shared" si="2"/>
        <v>0.22222222222222221</v>
      </c>
      <c r="Y5">
        <f t="shared" si="3"/>
        <v>0.33333333333333331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2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</row>
    <row r="6" spans="1:242" x14ac:dyDescent="0.25">
      <c r="A6">
        <v>15448</v>
      </c>
      <c r="B6">
        <v>8</v>
      </c>
      <c r="C6">
        <v>7</v>
      </c>
      <c r="D6" t="s">
        <v>214</v>
      </c>
      <c r="E6" t="s">
        <v>215</v>
      </c>
      <c r="F6">
        <v>9</v>
      </c>
      <c r="G6">
        <v>30.654671440000001</v>
      </c>
      <c r="H6">
        <v>6.6354319569999998</v>
      </c>
      <c r="I6">
        <v>14.69578035</v>
      </c>
      <c r="J6">
        <v>96.825593310000002</v>
      </c>
      <c r="K6">
        <v>17.0997196</v>
      </c>
      <c r="L6">
        <v>65.774930760000004</v>
      </c>
      <c r="M6">
        <v>10.06267742</v>
      </c>
      <c r="N6">
        <v>-1.83</v>
      </c>
      <c r="O6">
        <v>-1.41</v>
      </c>
      <c r="P6" t="s">
        <v>216</v>
      </c>
      <c r="Q6" t="s">
        <v>216</v>
      </c>
      <c r="R6" t="s">
        <v>217</v>
      </c>
      <c r="S6" t="s">
        <v>217</v>
      </c>
      <c r="T6" t="s">
        <v>217</v>
      </c>
      <c r="U6" t="s">
        <v>216</v>
      </c>
      <c r="V6">
        <f t="shared" si="0"/>
        <v>1</v>
      </c>
      <c r="W6">
        <f t="shared" si="1"/>
        <v>1</v>
      </c>
      <c r="X6">
        <f t="shared" si="2"/>
        <v>0.14285714285714285</v>
      </c>
      <c r="Y6">
        <f t="shared" si="3"/>
        <v>0.14285714285714285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</row>
    <row r="7" spans="1:242" x14ac:dyDescent="0.25">
      <c r="A7">
        <v>15455</v>
      </c>
      <c r="B7">
        <v>12</v>
      </c>
      <c r="C7">
        <v>7</v>
      </c>
      <c r="D7" t="s">
        <v>214</v>
      </c>
      <c r="E7" t="s">
        <v>215</v>
      </c>
      <c r="F7">
        <v>8</v>
      </c>
      <c r="G7">
        <v>28.57833333</v>
      </c>
      <c r="H7">
        <v>5.417166667</v>
      </c>
      <c r="I7">
        <v>14.17297123</v>
      </c>
      <c r="J7">
        <v>97.408333330000005</v>
      </c>
      <c r="K7">
        <v>11.633333329999999</v>
      </c>
      <c r="L7">
        <v>56.989136899999998</v>
      </c>
      <c r="M7">
        <v>10.0613815</v>
      </c>
      <c r="N7">
        <v>-1.98</v>
      </c>
      <c r="O7">
        <v>-2.14</v>
      </c>
      <c r="P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>
        <f t="shared" si="0"/>
        <v>22</v>
      </c>
      <c r="W7">
        <f t="shared" si="1"/>
        <v>105</v>
      </c>
      <c r="X7">
        <f t="shared" si="2"/>
        <v>3.1428571428571428</v>
      </c>
      <c r="Y7">
        <f t="shared" si="3"/>
        <v>15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19</v>
      </c>
      <c r="AN7" s="1">
        <v>0</v>
      </c>
      <c r="AO7" s="1">
        <v>0</v>
      </c>
      <c r="AP7" s="1">
        <v>8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5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34</v>
      </c>
      <c r="CA7" s="1">
        <v>4</v>
      </c>
      <c r="CB7" s="1">
        <v>3</v>
      </c>
      <c r="CC7" s="1">
        <v>0</v>
      </c>
      <c r="CD7" s="1">
        <v>7</v>
      </c>
      <c r="CE7" s="1">
        <v>0</v>
      </c>
      <c r="CF7" s="1">
        <v>0</v>
      </c>
      <c r="CG7" s="1">
        <v>0</v>
      </c>
      <c r="CH7" s="1">
        <v>0</v>
      </c>
      <c r="CI7" s="1">
        <v>1</v>
      </c>
      <c r="CJ7" s="1">
        <v>4</v>
      </c>
      <c r="CK7" s="1">
        <v>0</v>
      </c>
      <c r="CL7" s="1">
        <v>0</v>
      </c>
      <c r="CM7" s="1">
        <v>2</v>
      </c>
      <c r="CN7" s="1">
        <v>5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1</v>
      </c>
      <c r="CW7" s="1">
        <v>1</v>
      </c>
      <c r="CX7" s="1">
        <v>0</v>
      </c>
      <c r="CY7" s="1">
        <v>0</v>
      </c>
      <c r="CZ7" s="1">
        <v>1</v>
      </c>
      <c r="DA7" s="1">
        <v>0</v>
      </c>
      <c r="DB7" s="1">
        <v>2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2</v>
      </c>
      <c r="GB7" s="1">
        <v>1</v>
      </c>
      <c r="GC7" s="1">
        <v>0</v>
      </c>
      <c r="GD7" s="1">
        <v>0</v>
      </c>
      <c r="GE7" s="1">
        <v>1</v>
      </c>
      <c r="GF7" s="1">
        <v>0</v>
      </c>
      <c r="GG7" s="1">
        <v>1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</row>
    <row r="8" spans="1:242" x14ac:dyDescent="0.25">
      <c r="A8">
        <v>15456</v>
      </c>
      <c r="B8">
        <v>11</v>
      </c>
      <c r="C8">
        <v>14</v>
      </c>
      <c r="D8" t="s">
        <v>214</v>
      </c>
      <c r="E8" t="s">
        <v>215</v>
      </c>
      <c r="F8">
        <v>8</v>
      </c>
      <c r="G8">
        <v>27.64518777</v>
      </c>
      <c r="H8">
        <v>8.427333333</v>
      </c>
      <c r="I8">
        <v>15.73808491</v>
      </c>
      <c r="J8">
        <v>95.35</v>
      </c>
      <c r="K8">
        <v>19.740452250000001</v>
      </c>
      <c r="L8">
        <v>57.513133670000002</v>
      </c>
      <c r="M8">
        <v>10.194171839999999</v>
      </c>
      <c r="N8">
        <v>-1.48</v>
      </c>
      <c r="O8">
        <v>-1.38</v>
      </c>
      <c r="P8" t="s">
        <v>217</v>
      </c>
      <c r="Q8" t="s">
        <v>216</v>
      </c>
      <c r="R8" t="s">
        <v>217</v>
      </c>
      <c r="S8" t="s">
        <v>217</v>
      </c>
      <c r="T8" t="s">
        <v>217</v>
      </c>
      <c r="U8" t="s">
        <v>217</v>
      </c>
      <c r="V8">
        <f t="shared" si="0"/>
        <v>15</v>
      </c>
      <c r="W8">
        <f t="shared" si="1"/>
        <v>57</v>
      </c>
      <c r="X8">
        <f t="shared" si="2"/>
        <v>1.0714285714285714</v>
      </c>
      <c r="Y8">
        <f t="shared" si="3"/>
        <v>4.0714285714285712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27</v>
      </c>
      <c r="CB8" s="1">
        <v>1</v>
      </c>
      <c r="CC8" s="1">
        <v>0</v>
      </c>
      <c r="CD8" s="1">
        <v>2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2</v>
      </c>
      <c r="CO8" s="1">
        <v>2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2</v>
      </c>
      <c r="FZ8" s="1">
        <v>0</v>
      </c>
      <c r="GA8" s="1">
        <v>4</v>
      </c>
      <c r="GB8" s="1">
        <v>4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1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</row>
    <row r="9" spans="1:242" x14ac:dyDescent="0.25">
      <c r="A9">
        <v>15462</v>
      </c>
      <c r="B9">
        <v>18</v>
      </c>
      <c r="C9">
        <v>8</v>
      </c>
      <c r="D9" t="s">
        <v>214</v>
      </c>
      <c r="E9" t="s">
        <v>215</v>
      </c>
      <c r="F9">
        <v>9</v>
      </c>
      <c r="G9">
        <v>27.334250000000001</v>
      </c>
      <c r="H9">
        <v>3.1638333329999999</v>
      </c>
      <c r="I9">
        <v>12.39228323</v>
      </c>
      <c r="J9">
        <v>97.6</v>
      </c>
      <c r="K9">
        <v>14.233333330000001</v>
      </c>
      <c r="L9">
        <v>61.05699405</v>
      </c>
      <c r="M9">
        <v>10.059010199999999</v>
      </c>
      <c r="N9">
        <v>-2.72</v>
      </c>
      <c r="O9">
        <v>-2.16</v>
      </c>
      <c r="P9" t="s">
        <v>216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>
        <f t="shared" si="0"/>
        <v>19</v>
      </c>
      <c r="W9">
        <f t="shared" si="1"/>
        <v>148</v>
      </c>
      <c r="X9">
        <f t="shared" si="2"/>
        <v>2.375</v>
      </c>
      <c r="Y9">
        <f t="shared" si="3"/>
        <v>18.5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33</v>
      </c>
      <c r="AN9" s="1">
        <v>3</v>
      </c>
      <c r="AO9" s="1">
        <v>0</v>
      </c>
      <c r="AP9" s="1">
        <v>2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3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8</v>
      </c>
      <c r="CA9" s="1">
        <v>1</v>
      </c>
      <c r="CB9" s="1">
        <v>0</v>
      </c>
      <c r="CC9" s="1">
        <v>0</v>
      </c>
      <c r="CD9" s="1">
        <v>56</v>
      </c>
      <c r="CE9" s="1">
        <v>0</v>
      </c>
      <c r="CF9" s="1">
        <v>0</v>
      </c>
      <c r="CG9" s="1">
        <v>0</v>
      </c>
      <c r="CH9" s="1">
        <v>0</v>
      </c>
      <c r="CI9" s="1">
        <v>2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5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2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1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25</v>
      </c>
      <c r="GB9" s="1">
        <v>1</v>
      </c>
      <c r="GC9" s="1">
        <v>0</v>
      </c>
      <c r="GD9" s="1">
        <v>0</v>
      </c>
      <c r="GE9" s="1">
        <v>1</v>
      </c>
      <c r="GF9" s="1">
        <v>1</v>
      </c>
      <c r="GG9" s="1">
        <v>0</v>
      </c>
      <c r="GH9" s="1">
        <v>0</v>
      </c>
      <c r="GI9" s="1">
        <v>0</v>
      </c>
      <c r="GJ9" s="1">
        <v>1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</row>
    <row r="10" spans="1:242" x14ac:dyDescent="0.25">
      <c r="A10">
        <v>15465</v>
      </c>
      <c r="B10">
        <v>26</v>
      </c>
      <c r="C10">
        <v>7</v>
      </c>
      <c r="D10" t="s">
        <v>214</v>
      </c>
      <c r="E10" t="s">
        <v>215</v>
      </c>
      <c r="F10">
        <v>9</v>
      </c>
      <c r="G10">
        <v>26.664333330000002</v>
      </c>
      <c r="H10">
        <v>5.7635833329999997</v>
      </c>
      <c r="I10">
        <v>13.61843403</v>
      </c>
      <c r="J10">
        <v>97.191666670000004</v>
      </c>
      <c r="K10">
        <v>12.9</v>
      </c>
      <c r="L10">
        <v>58.863640869999998</v>
      </c>
      <c r="M10">
        <v>10.060551609999999</v>
      </c>
      <c r="N10">
        <v>-2.2599999999999998</v>
      </c>
      <c r="O10">
        <v>-1.98</v>
      </c>
      <c r="P10" t="s">
        <v>217</v>
      </c>
      <c r="Q10" t="s">
        <v>217</v>
      </c>
      <c r="R10" t="s">
        <v>217</v>
      </c>
      <c r="S10" t="s">
        <v>216</v>
      </c>
      <c r="T10" t="s">
        <v>216</v>
      </c>
      <c r="U10" t="s">
        <v>217</v>
      </c>
      <c r="V10">
        <f t="shared" si="0"/>
        <v>16</v>
      </c>
      <c r="W10">
        <f t="shared" si="1"/>
        <v>414</v>
      </c>
      <c r="X10">
        <f t="shared" si="2"/>
        <v>2.2857142857142856</v>
      </c>
      <c r="Y10">
        <f t="shared" si="3"/>
        <v>59.142857142857146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67</v>
      </c>
      <c r="AN10" s="1">
        <v>14</v>
      </c>
      <c r="AO10" s="1">
        <v>0</v>
      </c>
      <c r="AP10" s="1">
        <v>7</v>
      </c>
      <c r="AQ10" s="1">
        <v>0</v>
      </c>
      <c r="AR10" s="1">
        <v>232</v>
      </c>
      <c r="AS10" s="1">
        <v>1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2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32</v>
      </c>
      <c r="CA10" s="1">
        <v>0</v>
      </c>
      <c r="CB10" s="1">
        <v>0</v>
      </c>
      <c r="CC10" s="1">
        <v>0</v>
      </c>
      <c r="CD10" s="1">
        <v>13</v>
      </c>
      <c r="CE10" s="1">
        <v>0</v>
      </c>
      <c r="CF10" s="1">
        <v>0</v>
      </c>
      <c r="CG10" s="1">
        <v>0</v>
      </c>
      <c r="CH10" s="1">
        <v>0</v>
      </c>
      <c r="CI10" s="1">
        <v>14</v>
      </c>
      <c r="CJ10" s="1">
        <v>0</v>
      </c>
      <c r="CK10" s="1">
        <v>0</v>
      </c>
      <c r="CL10" s="1">
        <v>0</v>
      </c>
      <c r="CM10" s="1">
        <v>0</v>
      </c>
      <c r="CN10" s="1">
        <v>2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16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9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2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1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</row>
    <row r="11" spans="1:242" x14ac:dyDescent="0.25">
      <c r="A11">
        <v>15467</v>
      </c>
      <c r="B11">
        <v>1</v>
      </c>
      <c r="C11">
        <v>7</v>
      </c>
      <c r="D11" t="s">
        <v>214</v>
      </c>
      <c r="E11" t="s">
        <v>215</v>
      </c>
      <c r="F11">
        <v>9</v>
      </c>
      <c r="G11">
        <v>29.34183333</v>
      </c>
      <c r="H11">
        <v>6.8528333330000004</v>
      </c>
      <c r="I11">
        <v>14.414505950000001</v>
      </c>
      <c r="J11">
        <v>100</v>
      </c>
      <c r="K11">
        <v>14.20833333</v>
      </c>
      <c r="L11">
        <v>69.056250000000006</v>
      </c>
      <c r="M11">
        <v>10.198190650000001</v>
      </c>
      <c r="N11">
        <v>-2.3199999999999998</v>
      </c>
      <c r="O11">
        <v>-1.21</v>
      </c>
      <c r="P11" t="s">
        <v>216</v>
      </c>
      <c r="Q11" t="s">
        <v>216</v>
      </c>
      <c r="R11" t="s">
        <v>216</v>
      </c>
      <c r="S11" t="s">
        <v>216</v>
      </c>
      <c r="T11" t="s">
        <v>216</v>
      </c>
      <c r="U11" t="s">
        <v>216</v>
      </c>
      <c r="V11">
        <f t="shared" si="0"/>
        <v>19</v>
      </c>
      <c r="W11">
        <f t="shared" si="1"/>
        <v>54</v>
      </c>
      <c r="X11">
        <f t="shared" si="2"/>
        <v>2.7142857142857144</v>
      </c>
      <c r="Y11">
        <f t="shared" si="3"/>
        <v>7.7142857142857144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13</v>
      </c>
      <c r="AN11" s="1">
        <v>1</v>
      </c>
      <c r="AO11" s="1">
        <v>0</v>
      </c>
      <c r="AP11" s="1">
        <v>1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6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1</v>
      </c>
      <c r="BX11" s="1">
        <v>0</v>
      </c>
      <c r="BY11" s="1">
        <v>1</v>
      </c>
      <c r="BZ11" s="1">
        <v>4</v>
      </c>
      <c r="CA11" s="1">
        <v>0</v>
      </c>
      <c r="CB11" s="1">
        <v>1</v>
      </c>
      <c r="CC11" s="1">
        <v>0</v>
      </c>
      <c r="CD11" s="1">
        <v>10</v>
      </c>
      <c r="CE11" s="1">
        <v>0</v>
      </c>
      <c r="CF11" s="1">
        <v>0</v>
      </c>
      <c r="CG11" s="1">
        <v>0</v>
      </c>
      <c r="CH11" s="1">
        <v>0</v>
      </c>
      <c r="CI11" s="1">
        <v>1</v>
      </c>
      <c r="CJ11" s="1">
        <v>0</v>
      </c>
      <c r="CK11" s="1">
        <v>3</v>
      </c>
      <c r="CL11" s="1">
        <v>0</v>
      </c>
      <c r="CM11" s="1">
        <v>0</v>
      </c>
      <c r="CN11" s="1">
        <v>1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1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4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1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2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</row>
    <row r="12" spans="1:242" x14ac:dyDescent="0.25">
      <c r="A12">
        <v>15476</v>
      </c>
      <c r="B12">
        <v>14</v>
      </c>
      <c r="C12">
        <v>7</v>
      </c>
      <c r="D12" t="s">
        <v>214</v>
      </c>
      <c r="E12" t="s">
        <v>215</v>
      </c>
      <c r="F12">
        <v>3</v>
      </c>
      <c r="G12">
        <v>29.500250000000001</v>
      </c>
      <c r="H12">
        <v>7.4875833329999999</v>
      </c>
      <c r="I12">
        <v>15.54475645</v>
      </c>
      <c r="J12">
        <v>92.616666670000001</v>
      </c>
      <c r="K12">
        <v>10.241666670000001</v>
      </c>
      <c r="L12">
        <v>41.47053571</v>
      </c>
      <c r="M12">
        <v>10.058940059999999</v>
      </c>
      <c r="N12">
        <v>-0.61699999999999999</v>
      </c>
      <c r="O12">
        <v>-2.81</v>
      </c>
      <c r="P12" t="s">
        <v>217</v>
      </c>
      <c r="Q12" t="s">
        <v>217</v>
      </c>
      <c r="R12" t="s">
        <v>217</v>
      </c>
      <c r="S12" t="s">
        <v>216</v>
      </c>
      <c r="T12" t="s">
        <v>216</v>
      </c>
      <c r="U12" t="s">
        <v>217</v>
      </c>
      <c r="V12">
        <f t="shared" si="0"/>
        <v>8</v>
      </c>
      <c r="W12">
        <f t="shared" si="1"/>
        <v>18</v>
      </c>
      <c r="X12">
        <f t="shared" si="2"/>
        <v>1.1428571428571428</v>
      </c>
      <c r="Y12">
        <f t="shared" si="3"/>
        <v>2.5714285714285716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2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4</v>
      </c>
      <c r="BZ12" s="1">
        <v>5</v>
      </c>
      <c r="CA12" s="1">
        <v>1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1</v>
      </c>
      <c r="CW12" s="1">
        <v>0</v>
      </c>
      <c r="CX12" s="1">
        <v>0</v>
      </c>
      <c r="CY12" s="1">
        <v>0</v>
      </c>
      <c r="CZ12" s="1">
        <v>1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2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2</v>
      </c>
      <c r="IG12">
        <v>0</v>
      </c>
      <c r="IH12">
        <v>0</v>
      </c>
    </row>
    <row r="13" spans="1:242" x14ac:dyDescent="0.25">
      <c r="A13">
        <v>15480</v>
      </c>
      <c r="B13">
        <v>28</v>
      </c>
      <c r="C13">
        <v>7</v>
      </c>
      <c r="D13" t="s">
        <v>214</v>
      </c>
      <c r="E13" t="s">
        <v>215</v>
      </c>
      <c r="F13">
        <v>6</v>
      </c>
      <c r="G13">
        <v>28.800583329999998</v>
      </c>
      <c r="H13">
        <v>3.0093333329999998</v>
      </c>
      <c r="I13">
        <v>13.14481647</v>
      </c>
      <c r="J13">
        <v>94.466666669999995</v>
      </c>
      <c r="K13">
        <v>12.06666667</v>
      </c>
      <c r="L13">
        <v>51.976587299999998</v>
      </c>
      <c r="M13">
        <v>10.054959869999999</v>
      </c>
      <c r="N13">
        <v>-1.91</v>
      </c>
      <c r="O13">
        <v>-2.79</v>
      </c>
      <c r="P13" t="s">
        <v>216</v>
      </c>
      <c r="Q13" t="s">
        <v>217</v>
      </c>
      <c r="R13" t="s">
        <v>217</v>
      </c>
      <c r="S13" t="s">
        <v>217</v>
      </c>
      <c r="T13" t="s">
        <v>217</v>
      </c>
      <c r="U13" t="s">
        <v>216</v>
      </c>
      <c r="V13">
        <f t="shared" si="0"/>
        <v>25</v>
      </c>
      <c r="W13">
        <f t="shared" si="1"/>
        <v>220</v>
      </c>
      <c r="X13">
        <f t="shared" si="2"/>
        <v>3.5714285714285716</v>
      </c>
      <c r="Y13">
        <f t="shared" si="3"/>
        <v>31.428571428571427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65</v>
      </c>
      <c r="AN13" s="1">
        <v>1</v>
      </c>
      <c r="AO13" s="1">
        <v>0</v>
      </c>
      <c r="AP13" s="1">
        <v>10</v>
      </c>
      <c r="AQ13" s="1">
        <v>2</v>
      </c>
      <c r="AR13" s="1">
        <v>0</v>
      </c>
      <c r="AS13" s="1">
        <v>2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2</v>
      </c>
      <c r="BB13" s="1">
        <v>1</v>
      </c>
      <c r="BC13" s="1">
        <v>0</v>
      </c>
      <c r="BD13" s="1">
        <v>0</v>
      </c>
      <c r="BE13" s="1">
        <v>1</v>
      </c>
      <c r="BF13" s="1">
        <v>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3</v>
      </c>
      <c r="BM13" s="1">
        <v>0</v>
      </c>
      <c r="BN13" s="1">
        <v>1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1</v>
      </c>
      <c r="BZ13" s="1">
        <v>10</v>
      </c>
      <c r="CA13" s="1">
        <v>0</v>
      </c>
      <c r="CB13" s="1">
        <v>0</v>
      </c>
      <c r="CC13" s="1">
        <v>0</v>
      </c>
      <c r="CD13" s="1">
        <v>96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2</v>
      </c>
      <c r="CL13" s="1">
        <v>0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3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1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1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2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1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1</v>
      </c>
    </row>
    <row r="14" spans="1:242" x14ac:dyDescent="0.25">
      <c r="A14">
        <v>15485</v>
      </c>
      <c r="B14">
        <v>24</v>
      </c>
      <c r="C14">
        <v>7</v>
      </c>
      <c r="D14" t="s">
        <v>214</v>
      </c>
      <c r="E14" t="s">
        <v>215</v>
      </c>
      <c r="F14">
        <v>3</v>
      </c>
      <c r="G14">
        <v>17.06625</v>
      </c>
      <c r="H14">
        <v>7.0890000000000004</v>
      </c>
      <c r="I14">
        <v>11.38851835</v>
      </c>
      <c r="J14">
        <v>94.05</v>
      </c>
      <c r="K14">
        <v>11.858333330000001</v>
      </c>
      <c r="L14">
        <v>45.696478169999999</v>
      </c>
      <c r="M14">
        <v>10.05439894</v>
      </c>
      <c r="N14">
        <v>-2.73</v>
      </c>
      <c r="O14">
        <v>-2.59</v>
      </c>
      <c r="P14" t="s">
        <v>217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>
        <f t="shared" si="0"/>
        <v>20</v>
      </c>
      <c r="W14">
        <f t="shared" si="1"/>
        <v>68</v>
      </c>
      <c r="X14">
        <f t="shared" si="2"/>
        <v>2.8571428571428572</v>
      </c>
      <c r="Y14">
        <f t="shared" si="3"/>
        <v>9.7142857142857135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9</v>
      </c>
      <c r="AG14" s="1">
        <v>0</v>
      </c>
      <c r="AH14" s="1">
        <v>2</v>
      </c>
      <c r="AI14" s="1">
        <v>0</v>
      </c>
      <c r="AJ14" s="1">
        <v>0</v>
      </c>
      <c r="AK14" s="1">
        <v>0</v>
      </c>
      <c r="AL14" s="1">
        <v>0</v>
      </c>
      <c r="AM14" s="1">
        <v>20</v>
      </c>
      <c r="AN14" s="1">
        <v>1</v>
      </c>
      <c r="AO14" s="1">
        <v>0</v>
      </c>
      <c r="AP14" s="1">
        <v>1</v>
      </c>
      <c r="AQ14" s="1">
        <v>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2</v>
      </c>
      <c r="BZ14" s="1">
        <v>5</v>
      </c>
      <c r="CA14" s="1">
        <v>0</v>
      </c>
      <c r="CB14" s="1">
        <v>0</v>
      </c>
      <c r="CC14" s="1">
        <v>0</v>
      </c>
      <c r="CD14" s="1">
        <v>8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</v>
      </c>
      <c r="CP14" s="1">
        <v>0</v>
      </c>
      <c r="CQ14" s="1">
        <v>0</v>
      </c>
      <c r="CR14" s="1">
        <v>0</v>
      </c>
      <c r="CS14" s="1">
        <v>0</v>
      </c>
      <c r="CT14" s="1">
        <v>1</v>
      </c>
      <c r="CU14" s="1">
        <v>0</v>
      </c>
      <c r="CV14" s="1">
        <v>4</v>
      </c>
      <c r="CW14" s="1">
        <v>1</v>
      </c>
      <c r="CX14" s="1">
        <v>0</v>
      </c>
      <c r="CY14" s="1">
        <v>0</v>
      </c>
      <c r="CZ14" s="1">
        <v>0</v>
      </c>
      <c r="DA14" s="1">
        <v>0</v>
      </c>
      <c r="DB14" s="1">
        <v>3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2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</row>
    <row r="15" spans="1:242" x14ac:dyDescent="0.25">
      <c r="A15">
        <v>15489</v>
      </c>
      <c r="B15">
        <v>29</v>
      </c>
      <c r="C15">
        <v>7</v>
      </c>
      <c r="D15" t="s">
        <v>214</v>
      </c>
      <c r="E15" t="s">
        <v>215</v>
      </c>
      <c r="F15">
        <v>3</v>
      </c>
      <c r="G15">
        <v>28.78383333</v>
      </c>
      <c r="H15">
        <v>7.7658333329999998</v>
      </c>
      <c r="I15">
        <v>16.18087302</v>
      </c>
      <c r="J15">
        <v>86.224999999999994</v>
      </c>
      <c r="K15">
        <v>10.55833333</v>
      </c>
      <c r="L15">
        <v>36.56840278</v>
      </c>
      <c r="M15">
        <v>10.0554255</v>
      </c>
      <c r="N15">
        <v>0.188</v>
      </c>
      <c r="O15">
        <v>-3.22</v>
      </c>
      <c r="P15" t="s">
        <v>217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>
        <f t="shared" si="0"/>
        <v>25</v>
      </c>
      <c r="W15">
        <f t="shared" si="1"/>
        <v>172</v>
      </c>
      <c r="X15">
        <f t="shared" si="2"/>
        <v>3.5714285714285716</v>
      </c>
      <c r="Y15">
        <f t="shared" si="3"/>
        <v>24.571428571428573</v>
      </c>
      <c r="Z15" s="1">
        <v>0</v>
      </c>
      <c r="AA15" s="1">
        <v>4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</v>
      </c>
      <c r="AI15" s="1">
        <v>0</v>
      </c>
      <c r="AJ15" s="1">
        <v>1</v>
      </c>
      <c r="AK15" s="1">
        <v>0</v>
      </c>
      <c r="AL15" s="1">
        <v>0</v>
      </c>
      <c r="AM15" s="1">
        <v>69</v>
      </c>
      <c r="AN15" s="1">
        <v>0</v>
      </c>
      <c r="AO15" s="1">
        <v>0</v>
      </c>
      <c r="AP15" s="1">
        <v>11</v>
      </c>
      <c r="AQ15" s="1">
        <v>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2</v>
      </c>
      <c r="BM15" s="1">
        <v>0</v>
      </c>
      <c r="BN15" s="1">
        <v>1</v>
      </c>
      <c r="BO15" s="1">
        <v>1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</v>
      </c>
      <c r="BW15" s="1">
        <v>0</v>
      </c>
      <c r="BX15" s="1">
        <v>0</v>
      </c>
      <c r="BY15" s="1">
        <v>10</v>
      </c>
      <c r="BZ15" s="1">
        <v>21</v>
      </c>
      <c r="CA15" s="1">
        <v>2</v>
      </c>
      <c r="CB15" s="1">
        <v>0</v>
      </c>
      <c r="CC15" s="1">
        <v>0</v>
      </c>
      <c r="CD15" s="1">
        <v>14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7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2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2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1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1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2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5</v>
      </c>
      <c r="IG15">
        <v>0</v>
      </c>
      <c r="IH15">
        <v>0</v>
      </c>
    </row>
    <row r="16" spans="1:242" x14ac:dyDescent="0.25">
      <c r="A16">
        <v>15493</v>
      </c>
      <c r="B16">
        <v>27</v>
      </c>
      <c r="C16">
        <v>7</v>
      </c>
      <c r="D16" t="s">
        <v>214</v>
      </c>
      <c r="E16" t="s">
        <v>215</v>
      </c>
      <c r="F16">
        <v>3</v>
      </c>
      <c r="G16">
        <v>26.111499999999999</v>
      </c>
      <c r="H16">
        <v>9.1343333330000007</v>
      </c>
      <c r="I16">
        <v>15.97985119</v>
      </c>
      <c r="J16">
        <v>82.65</v>
      </c>
      <c r="K16">
        <v>13.78333333</v>
      </c>
      <c r="L16">
        <v>38.090277780000001</v>
      </c>
      <c r="M16">
        <v>10.056330190000001</v>
      </c>
      <c r="N16">
        <v>0.30099999999999999</v>
      </c>
      <c r="O16">
        <v>-3</v>
      </c>
      <c r="P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216</v>
      </c>
      <c r="V16">
        <f t="shared" si="0"/>
        <v>8</v>
      </c>
      <c r="W16">
        <f t="shared" si="1"/>
        <v>19</v>
      </c>
      <c r="X16">
        <f t="shared" si="2"/>
        <v>1.1428571428571428</v>
      </c>
      <c r="Y16">
        <f t="shared" si="3"/>
        <v>2.7142857142857144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7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4</v>
      </c>
      <c r="BZ16" s="1">
        <v>0</v>
      </c>
      <c r="CA16" s="1">
        <v>0</v>
      </c>
      <c r="CB16" s="1">
        <v>0</v>
      </c>
      <c r="CC16" s="1">
        <v>0</v>
      </c>
      <c r="CD16" s="1">
        <v>2</v>
      </c>
      <c r="CE16" s="1">
        <v>0</v>
      </c>
      <c r="CF16" s="1">
        <v>0</v>
      </c>
      <c r="CG16" s="1">
        <v>0</v>
      </c>
      <c r="CH16" s="1">
        <v>0</v>
      </c>
      <c r="CI16" s="1">
        <v>2</v>
      </c>
      <c r="CJ16" s="1">
        <v>0</v>
      </c>
      <c r="CK16" s="1">
        <v>0</v>
      </c>
      <c r="CL16" s="1">
        <v>1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1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</row>
    <row r="17" spans="1:242" x14ac:dyDescent="0.25">
      <c r="A17">
        <v>15498</v>
      </c>
      <c r="B17">
        <v>9</v>
      </c>
      <c r="C17">
        <v>7</v>
      </c>
      <c r="D17" t="s">
        <v>214</v>
      </c>
      <c r="E17" t="s">
        <v>215</v>
      </c>
      <c r="F17">
        <v>5</v>
      </c>
      <c r="G17">
        <v>25.365833330000001</v>
      </c>
      <c r="H17">
        <v>5.2069166669999998</v>
      </c>
      <c r="I17">
        <v>13.17062103</v>
      </c>
      <c r="J17">
        <v>92.316666670000004</v>
      </c>
      <c r="K17">
        <v>15.05</v>
      </c>
      <c r="L17">
        <v>53.653918650000001</v>
      </c>
      <c r="M17">
        <v>10.05700598</v>
      </c>
      <c r="N17">
        <v>-1.91</v>
      </c>
      <c r="O17">
        <v>-2.39</v>
      </c>
      <c r="P17" t="s">
        <v>217</v>
      </c>
      <c r="Q17" t="s">
        <v>217</v>
      </c>
      <c r="R17" t="s">
        <v>216</v>
      </c>
      <c r="S17" t="s">
        <v>217</v>
      </c>
      <c r="T17" t="s">
        <v>217</v>
      </c>
      <c r="U17" t="s">
        <v>216</v>
      </c>
      <c r="V17">
        <f t="shared" si="0"/>
        <v>13</v>
      </c>
      <c r="W17">
        <f t="shared" si="1"/>
        <v>32</v>
      </c>
      <c r="X17">
        <f t="shared" si="2"/>
        <v>1.8571428571428572</v>
      </c>
      <c r="Y17">
        <f t="shared" si="3"/>
        <v>4.5714285714285712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8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5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</v>
      </c>
      <c r="CA17" s="1">
        <v>0</v>
      </c>
      <c r="CB17" s="1">
        <v>0</v>
      </c>
      <c r="CC17" s="1">
        <v>0</v>
      </c>
      <c r="CD17" s="1">
        <v>4</v>
      </c>
      <c r="CE17" s="1">
        <v>0</v>
      </c>
      <c r="CF17" s="1">
        <v>0</v>
      </c>
      <c r="CG17" s="1">
        <v>0</v>
      </c>
      <c r="CH17" s="1">
        <v>0</v>
      </c>
      <c r="CI17" s="1">
        <v>1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5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1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</v>
      </c>
    </row>
    <row r="18" spans="1:242" x14ac:dyDescent="0.25">
      <c r="A18">
        <v>15505</v>
      </c>
      <c r="B18">
        <v>25</v>
      </c>
      <c r="C18">
        <v>7</v>
      </c>
      <c r="D18" t="s">
        <v>214</v>
      </c>
      <c r="E18" t="s">
        <v>215</v>
      </c>
      <c r="F18">
        <v>8</v>
      </c>
      <c r="G18">
        <v>26.204999999999998</v>
      </c>
      <c r="H18">
        <v>8.2944166670000001</v>
      </c>
      <c r="I18">
        <v>15.31389087</v>
      </c>
      <c r="J18">
        <v>95.083333330000002</v>
      </c>
      <c r="K18">
        <v>14.491666670000001</v>
      </c>
      <c r="L18">
        <v>49.200198409999999</v>
      </c>
      <c r="M18">
        <v>10.06143325</v>
      </c>
      <c r="N18">
        <v>-1.41</v>
      </c>
      <c r="O18">
        <v>-2.04</v>
      </c>
      <c r="P18" t="s">
        <v>217</v>
      </c>
      <c r="Q18" t="s">
        <v>216</v>
      </c>
      <c r="R18" t="s">
        <v>216</v>
      </c>
      <c r="S18" t="s">
        <v>217</v>
      </c>
      <c r="T18" t="s">
        <v>217</v>
      </c>
      <c r="U18" t="s">
        <v>216</v>
      </c>
      <c r="V18">
        <f t="shared" si="0"/>
        <v>20</v>
      </c>
      <c r="W18">
        <f t="shared" si="1"/>
        <v>87</v>
      </c>
      <c r="X18">
        <f t="shared" si="2"/>
        <v>2.8571428571428572</v>
      </c>
      <c r="Y18">
        <f t="shared" si="3"/>
        <v>12.428571428571429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13</v>
      </c>
      <c r="AG18" s="1">
        <v>0</v>
      </c>
      <c r="AH18" s="1">
        <v>2</v>
      </c>
      <c r="AI18" s="1">
        <v>0</v>
      </c>
      <c r="AJ18" s="1">
        <v>0</v>
      </c>
      <c r="AK18" s="1">
        <v>1</v>
      </c>
      <c r="AL18" s="1">
        <v>0</v>
      </c>
      <c r="AM18" s="1">
        <v>6</v>
      </c>
      <c r="AN18" s="1">
        <v>0</v>
      </c>
      <c r="AO18" s="1">
        <v>0</v>
      </c>
      <c r="AP18" s="1">
        <v>1</v>
      </c>
      <c r="AQ18" s="1">
        <v>1</v>
      </c>
      <c r="AR18" s="1">
        <v>0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</v>
      </c>
      <c r="BV18" s="1">
        <v>0</v>
      </c>
      <c r="BW18" s="1">
        <v>0</v>
      </c>
      <c r="BX18" s="1">
        <v>0</v>
      </c>
      <c r="BY18" s="1">
        <v>1</v>
      </c>
      <c r="BZ18" s="1">
        <v>7</v>
      </c>
      <c r="CA18" s="1">
        <v>14</v>
      </c>
      <c r="CB18" s="1">
        <v>0</v>
      </c>
      <c r="CC18" s="1">
        <v>0</v>
      </c>
      <c r="CD18" s="1">
        <v>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1</v>
      </c>
      <c r="CL18" s="1">
        <v>2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  <c r="CT18" s="1">
        <v>1</v>
      </c>
      <c r="CU18" s="1">
        <v>0</v>
      </c>
      <c r="CV18" s="1">
        <v>2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25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0</v>
      </c>
      <c r="IF18">
        <v>0</v>
      </c>
      <c r="IG18">
        <v>0</v>
      </c>
      <c r="IH18">
        <v>0</v>
      </c>
    </row>
    <row r="19" spans="1:242" x14ac:dyDescent="0.25">
      <c r="A19">
        <v>15510</v>
      </c>
      <c r="B19">
        <v>15</v>
      </c>
      <c r="C19">
        <v>7</v>
      </c>
      <c r="D19" t="s">
        <v>214</v>
      </c>
      <c r="E19" t="s">
        <v>215</v>
      </c>
      <c r="F19">
        <v>9</v>
      </c>
      <c r="G19">
        <v>26.628250000000001</v>
      </c>
      <c r="H19">
        <v>4.9317500000000001</v>
      </c>
      <c r="I19">
        <v>13.46529464</v>
      </c>
      <c r="J19">
        <v>97.724999999999994</v>
      </c>
      <c r="K19">
        <v>13.766666669999999</v>
      </c>
      <c r="L19">
        <v>70.340476190000004</v>
      </c>
      <c r="M19">
        <v>10.07474453</v>
      </c>
      <c r="N19">
        <v>-2.72</v>
      </c>
      <c r="O19">
        <v>-1.52</v>
      </c>
      <c r="P19" t="s">
        <v>216</v>
      </c>
      <c r="Q19" t="s">
        <v>217</v>
      </c>
      <c r="R19" t="s">
        <v>217</v>
      </c>
      <c r="S19" t="s">
        <v>217</v>
      </c>
      <c r="T19" t="s">
        <v>217</v>
      </c>
      <c r="U19" t="s">
        <v>216</v>
      </c>
      <c r="V19">
        <f t="shared" si="0"/>
        <v>8</v>
      </c>
      <c r="W19">
        <f t="shared" si="1"/>
        <v>43</v>
      </c>
      <c r="X19">
        <f t="shared" si="2"/>
        <v>1.1428571428571428</v>
      </c>
      <c r="Y19">
        <f t="shared" si="3"/>
        <v>6.1428571428571432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18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4</v>
      </c>
      <c r="CA19" s="1">
        <v>0</v>
      </c>
      <c r="CB19" s="1">
        <v>2</v>
      </c>
      <c r="CC19" s="1">
        <v>0</v>
      </c>
      <c r="CD19" s="1">
        <v>15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1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</row>
    <row r="20" spans="1:242" x14ac:dyDescent="0.25">
      <c r="A20">
        <v>15516</v>
      </c>
      <c r="B20">
        <v>17</v>
      </c>
      <c r="C20">
        <v>7</v>
      </c>
      <c r="D20" t="s">
        <v>214</v>
      </c>
      <c r="E20" t="s">
        <v>215</v>
      </c>
      <c r="F20">
        <v>6</v>
      </c>
      <c r="G20">
        <v>26.71691667</v>
      </c>
      <c r="H20">
        <v>4.3970000000000002</v>
      </c>
      <c r="I20">
        <v>13.39458284</v>
      </c>
      <c r="J20">
        <v>83.841666669999995</v>
      </c>
      <c r="K20">
        <v>13.733333330000001</v>
      </c>
      <c r="L20">
        <v>43.379761899999998</v>
      </c>
      <c r="M20">
        <v>10.052593610000001</v>
      </c>
      <c r="N20">
        <v>-0.68</v>
      </c>
      <c r="O20">
        <v>-3.39</v>
      </c>
      <c r="P20" t="s">
        <v>216</v>
      </c>
      <c r="Q20" t="s">
        <v>217</v>
      </c>
      <c r="R20" t="s">
        <v>217</v>
      </c>
      <c r="S20" t="s">
        <v>217</v>
      </c>
      <c r="T20" t="s">
        <v>217</v>
      </c>
      <c r="U20" t="s">
        <v>216</v>
      </c>
      <c r="V20">
        <f t="shared" si="0"/>
        <v>16</v>
      </c>
      <c r="W20">
        <f t="shared" si="1"/>
        <v>124</v>
      </c>
      <c r="X20">
        <f t="shared" si="2"/>
        <v>2.2857142857142856</v>
      </c>
      <c r="Y20">
        <f t="shared" si="3"/>
        <v>17.714285714285715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0</v>
      </c>
      <c r="AM20" s="1">
        <v>84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0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5</v>
      </c>
      <c r="CA20" s="1">
        <v>0</v>
      </c>
      <c r="CB20" s="1">
        <v>1</v>
      </c>
      <c r="CC20" s="1">
        <v>0</v>
      </c>
      <c r="CD20" s="1">
        <v>19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1</v>
      </c>
      <c r="CU20" s="1">
        <v>0</v>
      </c>
      <c r="CV20" s="1">
        <v>3</v>
      </c>
      <c r="CW20" s="1">
        <v>1</v>
      </c>
      <c r="CX20" s="1">
        <v>0</v>
      </c>
      <c r="CY20" s="1">
        <v>0</v>
      </c>
      <c r="CZ20" s="1">
        <v>0</v>
      </c>
      <c r="DA20" s="1">
        <v>0</v>
      </c>
      <c r="DB20" s="1">
        <v>2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1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1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</row>
    <row r="21" spans="1:242" x14ac:dyDescent="0.25">
      <c r="A21">
        <v>15522</v>
      </c>
      <c r="B21">
        <v>13</v>
      </c>
      <c r="C21">
        <v>7</v>
      </c>
      <c r="D21" t="s">
        <v>214</v>
      </c>
      <c r="E21" t="s">
        <v>215</v>
      </c>
      <c r="F21">
        <v>1</v>
      </c>
      <c r="G21">
        <v>24.549166670000002</v>
      </c>
      <c r="H21">
        <v>6.8022499999999999</v>
      </c>
      <c r="I21">
        <v>13.49547718</v>
      </c>
      <c r="J21">
        <v>81.75</v>
      </c>
      <c r="K21">
        <v>14.15833333</v>
      </c>
      <c r="L21">
        <v>40.473511899999998</v>
      </c>
      <c r="M21">
        <v>10.053354369999999</v>
      </c>
      <c r="N21">
        <v>-0.377</v>
      </c>
      <c r="O21">
        <v>-3.3</v>
      </c>
      <c r="P21" t="s">
        <v>217</v>
      </c>
      <c r="Q21" t="s">
        <v>217</v>
      </c>
      <c r="R21" t="s">
        <v>217</v>
      </c>
      <c r="S21" t="s">
        <v>216</v>
      </c>
      <c r="T21" t="s">
        <v>216</v>
      </c>
      <c r="U21" t="s">
        <v>217</v>
      </c>
      <c r="V21">
        <f t="shared" si="0"/>
        <v>15</v>
      </c>
      <c r="W21">
        <f t="shared" si="1"/>
        <v>34</v>
      </c>
      <c r="X21">
        <f t="shared" si="2"/>
        <v>2.1428571428571428</v>
      </c>
      <c r="Y21">
        <f t="shared" si="3"/>
        <v>4.8571428571428568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3</v>
      </c>
      <c r="AN21" s="1">
        <v>2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2</v>
      </c>
      <c r="BP21" s="1">
        <v>0</v>
      </c>
      <c r="BQ21" s="1">
        <v>1</v>
      </c>
      <c r="BR21" s="1">
        <v>0</v>
      </c>
      <c r="BS21" s="1">
        <v>0</v>
      </c>
      <c r="BT21" s="1">
        <v>0</v>
      </c>
      <c r="BU21" s="1">
        <v>0</v>
      </c>
      <c r="BV21" s="1">
        <v>8</v>
      </c>
      <c r="BW21" s="1">
        <v>0</v>
      </c>
      <c r="BX21" s="1">
        <v>0</v>
      </c>
      <c r="BY21" s="1">
        <v>6</v>
      </c>
      <c r="BZ21" s="1">
        <v>1</v>
      </c>
      <c r="CA21" s="1">
        <v>0</v>
      </c>
      <c r="CB21" s="1">
        <v>3</v>
      </c>
      <c r="CC21" s="1">
        <v>1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1</v>
      </c>
      <c r="CW21" s="1">
        <v>2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1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1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</row>
    <row r="22" spans="1:242" x14ac:dyDescent="0.25">
      <c r="A22">
        <v>15527</v>
      </c>
      <c r="B22">
        <v>30</v>
      </c>
      <c r="C22">
        <v>7</v>
      </c>
      <c r="D22" t="s">
        <v>214</v>
      </c>
      <c r="E22" t="s">
        <v>215</v>
      </c>
      <c r="F22">
        <v>3</v>
      </c>
      <c r="G22">
        <v>26.48191667</v>
      </c>
      <c r="H22">
        <v>8.8826666670000005</v>
      </c>
      <c r="I22">
        <v>16.586564979999999</v>
      </c>
      <c r="J22">
        <v>81.658333330000005</v>
      </c>
      <c r="K22">
        <v>12.19166667</v>
      </c>
      <c r="L22">
        <v>34.795138889999997</v>
      </c>
      <c r="M22">
        <v>10.055229880000001</v>
      </c>
      <c r="N22">
        <v>0.6</v>
      </c>
      <c r="O22">
        <v>-3.26</v>
      </c>
      <c r="P22" t="s">
        <v>217</v>
      </c>
      <c r="Q22" t="s">
        <v>217</v>
      </c>
      <c r="R22" t="s">
        <v>217</v>
      </c>
      <c r="S22" t="s">
        <v>216</v>
      </c>
      <c r="T22" t="s">
        <v>217</v>
      </c>
      <c r="U22" t="s">
        <v>217</v>
      </c>
      <c r="V22">
        <f t="shared" si="0"/>
        <v>14</v>
      </c>
      <c r="W22">
        <f t="shared" si="1"/>
        <v>38</v>
      </c>
      <c r="X22">
        <f t="shared" si="2"/>
        <v>2</v>
      </c>
      <c r="Y22">
        <f t="shared" si="3"/>
        <v>5.4285714285714288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12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2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</v>
      </c>
      <c r="BZ22" s="1">
        <v>4</v>
      </c>
      <c r="CA22" s="1">
        <v>0</v>
      </c>
      <c r="CB22" s="1">
        <v>0</v>
      </c>
      <c r="CC22" s="1">
        <v>0</v>
      </c>
      <c r="CD22" s="1">
        <v>4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1</v>
      </c>
      <c r="CS22" s="1">
        <v>0</v>
      </c>
      <c r="CT22" s="1">
        <v>0</v>
      </c>
      <c r="CU22" s="1">
        <v>0</v>
      </c>
      <c r="CV22" s="1">
        <v>3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3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1</v>
      </c>
      <c r="GC22" s="1">
        <v>0</v>
      </c>
      <c r="GD22" s="1">
        <v>0</v>
      </c>
      <c r="GE22" s="1">
        <v>1</v>
      </c>
      <c r="GF22" s="1">
        <v>0</v>
      </c>
      <c r="GG22" s="1">
        <v>0</v>
      </c>
      <c r="GH22" s="1">
        <v>0</v>
      </c>
      <c r="GI22" s="1">
        <v>0</v>
      </c>
      <c r="GJ22" s="1">
        <v>3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1</v>
      </c>
      <c r="IG22">
        <v>0</v>
      </c>
      <c r="IH22">
        <v>0</v>
      </c>
    </row>
    <row r="23" spans="1:242" x14ac:dyDescent="0.25">
      <c r="A23">
        <v>15533</v>
      </c>
      <c r="B23">
        <v>7</v>
      </c>
      <c r="C23">
        <v>7</v>
      </c>
      <c r="D23" t="s">
        <v>214</v>
      </c>
      <c r="E23" t="s">
        <v>215</v>
      </c>
      <c r="F23">
        <v>3</v>
      </c>
      <c r="G23">
        <v>29.145</v>
      </c>
      <c r="H23">
        <v>7.8525833330000001</v>
      </c>
      <c r="I23">
        <v>15.263800099999999</v>
      </c>
      <c r="J23">
        <v>91.691666670000004</v>
      </c>
      <c r="K23">
        <v>11.983333330000001</v>
      </c>
      <c r="L23">
        <v>44.102232139999998</v>
      </c>
      <c r="M23">
        <v>10.05705755</v>
      </c>
      <c r="N23">
        <v>-0.65200000000000002</v>
      </c>
      <c r="O23">
        <v>-2.63</v>
      </c>
      <c r="P23" t="s">
        <v>216</v>
      </c>
      <c r="Q23" t="s">
        <v>216</v>
      </c>
      <c r="R23" t="s">
        <v>217</v>
      </c>
      <c r="S23" t="s">
        <v>216</v>
      </c>
      <c r="T23" t="s">
        <v>216</v>
      </c>
      <c r="U23" t="s">
        <v>217</v>
      </c>
      <c r="V23">
        <f t="shared" si="0"/>
        <v>18</v>
      </c>
      <c r="W23">
        <f t="shared" si="1"/>
        <v>42</v>
      </c>
      <c r="X23">
        <f t="shared" si="2"/>
        <v>2.5714285714285716</v>
      </c>
      <c r="Y23">
        <f t="shared" si="3"/>
        <v>6</v>
      </c>
      <c r="Z23" s="1">
        <v>0</v>
      </c>
      <c r="AA23" s="1">
        <v>2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10</v>
      </c>
      <c r="AN23" s="1">
        <v>0</v>
      </c>
      <c r="AO23" s="1">
        <v>0</v>
      </c>
      <c r="AP23" s="1">
        <v>2</v>
      </c>
      <c r="AQ23" s="1">
        <v>0</v>
      </c>
      <c r="AR23" s="1">
        <v>2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1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4</v>
      </c>
      <c r="BZ23" s="1">
        <v>5</v>
      </c>
      <c r="CA23" s="1">
        <v>0</v>
      </c>
      <c r="CB23" s="1">
        <v>0</v>
      </c>
      <c r="CC23" s="1">
        <v>0</v>
      </c>
      <c r="CD23" s="1">
        <v>4</v>
      </c>
      <c r="CE23" s="1">
        <v>0</v>
      </c>
      <c r="CF23" s="1">
        <v>0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1</v>
      </c>
      <c r="CS23" s="1">
        <v>0</v>
      </c>
      <c r="CT23" s="1">
        <v>0</v>
      </c>
      <c r="CU23" s="1">
        <v>0</v>
      </c>
      <c r="CV23" s="1">
        <v>2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1</v>
      </c>
      <c r="FO23" s="1">
        <v>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1</v>
      </c>
      <c r="GF23" s="1">
        <v>1</v>
      </c>
      <c r="GG23" s="1">
        <v>0</v>
      </c>
      <c r="GH23" s="1">
        <v>0</v>
      </c>
      <c r="GI23" s="1">
        <v>0</v>
      </c>
      <c r="GJ23" s="1">
        <v>2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1</v>
      </c>
      <c r="GQ23" s="1">
        <v>0</v>
      </c>
      <c r="GR23" s="1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0</v>
      </c>
    </row>
    <row r="24" spans="1:242" x14ac:dyDescent="0.25">
      <c r="A24">
        <v>15540</v>
      </c>
      <c r="B24">
        <v>23</v>
      </c>
      <c r="C24">
        <v>7</v>
      </c>
      <c r="D24" t="s">
        <v>214</v>
      </c>
      <c r="E24" t="s">
        <v>215</v>
      </c>
      <c r="F24">
        <v>5</v>
      </c>
      <c r="G24">
        <v>15.982416669999999</v>
      </c>
      <c r="H24">
        <v>7.7179166669999999</v>
      </c>
      <c r="I24">
        <v>11.500937</v>
      </c>
      <c r="J24">
        <v>95.058333329999996</v>
      </c>
      <c r="K24">
        <v>11.883333329999999</v>
      </c>
      <c r="L24">
        <v>54.526736110000002</v>
      </c>
      <c r="M24">
        <v>10.056098629999999</v>
      </c>
      <c r="N24">
        <v>-3.09</v>
      </c>
      <c r="O24">
        <v>-2.0699999999999998</v>
      </c>
      <c r="P24" t="s">
        <v>217</v>
      </c>
      <c r="Q24" t="s">
        <v>217</v>
      </c>
      <c r="R24" t="s">
        <v>216</v>
      </c>
      <c r="S24" t="s">
        <v>216</v>
      </c>
      <c r="T24" t="s">
        <v>216</v>
      </c>
      <c r="U24" t="s">
        <v>217</v>
      </c>
      <c r="V24">
        <f t="shared" si="0"/>
        <v>14</v>
      </c>
      <c r="W24">
        <f t="shared" si="1"/>
        <v>63</v>
      </c>
      <c r="X24">
        <f t="shared" si="2"/>
        <v>2</v>
      </c>
      <c r="Y24">
        <f t="shared" si="3"/>
        <v>9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35</v>
      </c>
      <c r="AN24" s="1">
        <v>0</v>
      </c>
      <c r="AO24" s="1">
        <v>0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2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1</v>
      </c>
      <c r="BZ24" s="1">
        <v>4</v>
      </c>
      <c r="CA24" s="1">
        <v>0</v>
      </c>
      <c r="CB24" s="1">
        <v>0</v>
      </c>
      <c r="CC24" s="1">
        <v>0</v>
      </c>
      <c r="CD24" s="1">
        <v>9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1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1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4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1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1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</v>
      </c>
      <c r="IG24">
        <v>0</v>
      </c>
      <c r="IH24">
        <v>1</v>
      </c>
    </row>
    <row r="25" spans="1:242" x14ac:dyDescent="0.25">
      <c r="A25">
        <v>15544</v>
      </c>
      <c r="B25">
        <v>31</v>
      </c>
      <c r="C25">
        <v>7</v>
      </c>
      <c r="D25" t="s">
        <v>214</v>
      </c>
      <c r="E25" t="s">
        <v>215</v>
      </c>
      <c r="F25">
        <v>4</v>
      </c>
      <c r="G25">
        <v>27.434666669999999</v>
      </c>
      <c r="H25">
        <v>9.0352499999999996</v>
      </c>
      <c r="I25">
        <v>16.297191470000001</v>
      </c>
      <c r="J25">
        <v>87.1</v>
      </c>
      <c r="K25">
        <v>11.7</v>
      </c>
      <c r="L25">
        <v>35.901934519999998</v>
      </c>
      <c r="M25">
        <v>10.05700674</v>
      </c>
      <c r="N25" s="8">
        <v>9.9299999999999999E-2</v>
      </c>
      <c r="O25">
        <v>-2.99</v>
      </c>
      <c r="P25" t="s">
        <v>217</v>
      </c>
      <c r="Q25" t="s">
        <v>216</v>
      </c>
      <c r="R25" t="s">
        <v>217</v>
      </c>
      <c r="S25" t="s">
        <v>216</v>
      </c>
      <c r="T25" t="s">
        <v>216</v>
      </c>
      <c r="U25" t="s">
        <v>217</v>
      </c>
      <c r="V25">
        <f t="shared" si="0"/>
        <v>23</v>
      </c>
      <c r="W25">
        <f t="shared" si="1"/>
        <v>118</v>
      </c>
      <c r="X25">
        <f t="shared" si="2"/>
        <v>3.2857142857142856</v>
      </c>
      <c r="Y25">
        <f t="shared" si="3"/>
        <v>16.857142857142858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64</v>
      </c>
      <c r="AN25" s="1">
        <v>1</v>
      </c>
      <c r="AO25" s="1">
        <v>0</v>
      </c>
      <c r="AP25" s="1">
        <v>1</v>
      </c>
      <c r="AQ25" s="1">
        <v>0</v>
      </c>
      <c r="AR25" s="1">
        <v>2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</v>
      </c>
      <c r="BG25" s="1">
        <v>3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1</v>
      </c>
      <c r="BP25" s="1">
        <v>3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</v>
      </c>
      <c r="BW25" s="1">
        <v>0</v>
      </c>
      <c r="BX25" s="1">
        <v>0</v>
      </c>
      <c r="BY25" s="1">
        <v>0</v>
      </c>
      <c r="BZ25" s="1">
        <v>5</v>
      </c>
      <c r="CA25" s="1">
        <v>0</v>
      </c>
      <c r="CB25" s="1">
        <v>0</v>
      </c>
      <c r="CC25" s="1">
        <v>0</v>
      </c>
      <c r="CD25" s="1">
        <v>5</v>
      </c>
      <c r="CE25" s="1">
        <v>0</v>
      </c>
      <c r="CF25" s="1">
        <v>0</v>
      </c>
      <c r="CG25" s="1">
        <v>0</v>
      </c>
      <c r="CH25" s="1">
        <v>3</v>
      </c>
      <c r="CI25" s="1">
        <v>1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2</v>
      </c>
      <c r="CS25" s="1">
        <v>0</v>
      </c>
      <c r="CT25" s="1">
        <v>0</v>
      </c>
      <c r="CU25" s="1">
        <v>0</v>
      </c>
      <c r="CV25" s="1">
        <v>11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2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1</v>
      </c>
      <c r="DS25" s="1">
        <v>1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</v>
      </c>
      <c r="EV25" s="1">
        <v>0</v>
      </c>
      <c r="EW25" s="1">
        <v>0</v>
      </c>
      <c r="EX25" s="1">
        <v>1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5</v>
      </c>
      <c r="GC25" s="1">
        <v>0</v>
      </c>
      <c r="GD25" s="1">
        <v>0</v>
      </c>
      <c r="GE25" s="1">
        <v>0</v>
      </c>
      <c r="GF25" s="1">
        <v>1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</row>
    <row r="26" spans="1:242" x14ac:dyDescent="0.25">
      <c r="A26">
        <v>15550</v>
      </c>
      <c r="B26">
        <v>21</v>
      </c>
      <c r="C26">
        <v>7</v>
      </c>
      <c r="D26" t="s">
        <v>214</v>
      </c>
      <c r="E26" t="s">
        <v>215</v>
      </c>
      <c r="F26">
        <v>5</v>
      </c>
      <c r="G26">
        <v>28.163426659999999</v>
      </c>
      <c r="H26">
        <v>4.6364424169999996</v>
      </c>
      <c r="I26">
        <v>13.85708342</v>
      </c>
      <c r="J26">
        <v>93.103944150000004</v>
      </c>
      <c r="K26">
        <v>11.18610181</v>
      </c>
      <c r="L26">
        <v>46.465779589999997</v>
      </c>
      <c r="M26">
        <v>10.051729079999999</v>
      </c>
      <c r="N26">
        <v>-1.43</v>
      </c>
      <c r="O26">
        <v>-2.91</v>
      </c>
      <c r="P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>
        <f t="shared" si="0"/>
        <v>10</v>
      </c>
      <c r="W26">
        <f t="shared" si="1"/>
        <v>94</v>
      </c>
      <c r="X26">
        <f t="shared" si="2"/>
        <v>1.4285714285714286</v>
      </c>
      <c r="Y26">
        <f t="shared" si="3"/>
        <v>13.428571428571429</v>
      </c>
      <c r="Z26" s="1">
        <v>0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68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1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9</v>
      </c>
      <c r="CA26" s="1">
        <v>0</v>
      </c>
      <c r="CB26" s="1">
        <v>0</v>
      </c>
      <c r="CC26" s="1">
        <v>0</v>
      </c>
      <c r="CD26" s="1">
        <v>2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1</v>
      </c>
      <c r="CS26" s="1">
        <v>0</v>
      </c>
      <c r="CT26" s="1">
        <v>0</v>
      </c>
      <c r="CU26" s="1">
        <v>0</v>
      </c>
      <c r="CV26" s="1">
        <v>8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1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2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1</v>
      </c>
      <c r="GQ26" s="1">
        <v>0</v>
      </c>
      <c r="GR26" s="1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</row>
    <row r="27" spans="1:242" x14ac:dyDescent="0.25">
      <c r="A27">
        <v>15556</v>
      </c>
      <c r="B27">
        <v>3</v>
      </c>
      <c r="C27">
        <v>7</v>
      </c>
      <c r="D27" t="s">
        <v>214</v>
      </c>
      <c r="E27" t="s">
        <v>215</v>
      </c>
      <c r="F27">
        <v>9</v>
      </c>
      <c r="G27">
        <v>29.40475</v>
      </c>
      <c r="H27">
        <v>7.790666667</v>
      </c>
      <c r="I27">
        <v>14.781284230000001</v>
      </c>
      <c r="J27">
        <v>98.924999999999997</v>
      </c>
      <c r="K27">
        <v>11.9</v>
      </c>
      <c r="L27">
        <v>65.304910710000001</v>
      </c>
      <c r="M27">
        <v>10.196985919999999</v>
      </c>
      <c r="N27">
        <v>-1.94</v>
      </c>
      <c r="O27">
        <v>-1.41</v>
      </c>
      <c r="P27" t="s">
        <v>216</v>
      </c>
      <c r="Q27" t="s">
        <v>217</v>
      </c>
      <c r="R27" t="s">
        <v>217</v>
      </c>
      <c r="S27" t="s">
        <v>217</v>
      </c>
      <c r="T27" t="s">
        <v>217</v>
      </c>
      <c r="U27" t="s">
        <v>216</v>
      </c>
      <c r="V27">
        <f t="shared" si="0"/>
        <v>8</v>
      </c>
      <c r="W27">
        <f t="shared" si="1"/>
        <v>36</v>
      </c>
      <c r="X27">
        <f t="shared" si="2"/>
        <v>1.1428571428571428</v>
      </c>
      <c r="Y27">
        <f t="shared" si="3"/>
        <v>5.1428571428571432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2</v>
      </c>
      <c r="AL27" s="1">
        <v>0</v>
      </c>
      <c r="AM27" s="1">
        <v>27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>
        <v>0</v>
      </c>
      <c r="AT27" s="1">
        <v>1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1</v>
      </c>
      <c r="CE27" s="1">
        <v>0</v>
      </c>
      <c r="CF27" s="1">
        <v>0</v>
      </c>
      <c r="CG27" s="1">
        <v>0</v>
      </c>
      <c r="CH27" s="1">
        <v>0</v>
      </c>
      <c r="CI27" s="1">
        <v>1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1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</row>
    <row r="28" spans="1:242" x14ac:dyDescent="0.25">
      <c r="A28">
        <v>15560</v>
      </c>
      <c r="B28">
        <v>3</v>
      </c>
      <c r="C28">
        <v>7</v>
      </c>
      <c r="D28" t="s">
        <v>218</v>
      </c>
      <c r="E28" t="s">
        <v>215</v>
      </c>
      <c r="F28">
        <v>9</v>
      </c>
      <c r="G28">
        <v>25.264083329999998</v>
      </c>
      <c r="H28">
        <v>8.9096666669999998</v>
      </c>
      <c r="I28">
        <v>14.33007783</v>
      </c>
      <c r="J28">
        <v>98.341666669999995</v>
      </c>
      <c r="K28">
        <v>35.5</v>
      </c>
      <c r="L28">
        <v>77.984523809999999</v>
      </c>
      <c r="M28">
        <v>10.98024487</v>
      </c>
      <c r="N28">
        <v>-2.75</v>
      </c>
      <c r="O28">
        <v>0.54700000000000004</v>
      </c>
      <c r="P28" t="s">
        <v>216</v>
      </c>
      <c r="Q28" t="s">
        <v>217</v>
      </c>
      <c r="R28" t="s">
        <v>217</v>
      </c>
      <c r="S28" t="s">
        <v>217</v>
      </c>
      <c r="T28" t="s">
        <v>217</v>
      </c>
      <c r="U28" t="s">
        <v>216</v>
      </c>
      <c r="V28">
        <f t="shared" si="0"/>
        <v>8</v>
      </c>
      <c r="W28">
        <f t="shared" si="1"/>
        <v>35</v>
      </c>
      <c r="X28">
        <f t="shared" si="2"/>
        <v>1.1428571428571428</v>
      </c>
      <c r="Y28">
        <f t="shared" si="3"/>
        <v>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12</v>
      </c>
      <c r="AN28" s="1">
        <v>0</v>
      </c>
      <c r="AO28" s="1">
        <v>0</v>
      </c>
      <c r="AP28" s="1">
        <v>0</v>
      </c>
      <c r="AQ28" s="1">
        <v>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1</v>
      </c>
      <c r="CB28" s="1">
        <v>0</v>
      </c>
      <c r="CC28" s="1">
        <v>0</v>
      </c>
      <c r="CD28" s="1">
        <v>5</v>
      </c>
      <c r="CE28" s="1">
        <v>0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10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4</v>
      </c>
    </row>
    <row r="29" spans="1:242" x14ac:dyDescent="0.25">
      <c r="A29">
        <v>15561</v>
      </c>
      <c r="B29">
        <v>1</v>
      </c>
      <c r="C29">
        <v>9</v>
      </c>
      <c r="D29" t="s">
        <v>218</v>
      </c>
      <c r="E29" t="s">
        <v>215</v>
      </c>
      <c r="F29">
        <v>9</v>
      </c>
      <c r="G29">
        <v>25.207583329999999</v>
      </c>
      <c r="H29">
        <v>7.9866666669999997</v>
      </c>
      <c r="I29">
        <v>14.095258429999999</v>
      </c>
      <c r="J29">
        <v>99.916666669999998</v>
      </c>
      <c r="K29">
        <v>37.9</v>
      </c>
      <c r="L29">
        <v>81.162599209999996</v>
      </c>
      <c r="M29">
        <v>10.980941639999999</v>
      </c>
      <c r="N29">
        <v>-3.15</v>
      </c>
      <c r="O29">
        <v>0.76300000000000001</v>
      </c>
      <c r="P29" t="s">
        <v>216</v>
      </c>
      <c r="Q29" t="s">
        <v>216</v>
      </c>
      <c r="R29" t="s">
        <v>216</v>
      </c>
      <c r="S29" t="s">
        <v>216</v>
      </c>
      <c r="T29" t="s">
        <v>216</v>
      </c>
      <c r="U29" t="s">
        <v>216</v>
      </c>
      <c r="V29">
        <f t="shared" si="0"/>
        <v>12</v>
      </c>
      <c r="W29">
        <f t="shared" si="1"/>
        <v>41</v>
      </c>
      <c r="X29">
        <f t="shared" si="2"/>
        <v>1.3333333333333333</v>
      </c>
      <c r="Y29">
        <f t="shared" si="3"/>
        <v>4.5555555555555554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9</v>
      </c>
      <c r="AN29" s="1">
        <v>1</v>
      </c>
      <c r="AO29" s="1">
        <v>0</v>
      </c>
      <c r="AP29" s="1">
        <v>0</v>
      </c>
      <c r="AQ29" s="1">
        <v>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</v>
      </c>
      <c r="BX29" s="1">
        <v>0</v>
      </c>
      <c r="BY29" s="1">
        <v>0</v>
      </c>
      <c r="BZ29" s="1">
        <v>2</v>
      </c>
      <c r="CA29" s="1">
        <v>0</v>
      </c>
      <c r="CB29" s="1">
        <v>1</v>
      </c>
      <c r="CC29" s="1">
        <v>0</v>
      </c>
      <c r="CD29" s="1">
        <v>18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1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1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2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</row>
    <row r="30" spans="1:242" x14ac:dyDescent="0.25">
      <c r="A30">
        <v>15562</v>
      </c>
      <c r="B30">
        <v>20</v>
      </c>
      <c r="C30">
        <v>7</v>
      </c>
      <c r="D30" t="s">
        <v>214</v>
      </c>
      <c r="E30" t="s">
        <v>215</v>
      </c>
      <c r="F30">
        <v>4</v>
      </c>
      <c r="G30">
        <v>27.673916670000001</v>
      </c>
      <c r="H30">
        <v>8.3006666669999998</v>
      </c>
      <c r="I30">
        <v>14.469076879999999</v>
      </c>
      <c r="J30">
        <v>93.666666669999998</v>
      </c>
      <c r="K30">
        <v>12.108333330000001</v>
      </c>
      <c r="L30">
        <v>59.643253970000004</v>
      </c>
      <c r="M30">
        <v>10.1912705</v>
      </c>
      <c r="N30">
        <v>-1.43</v>
      </c>
      <c r="O30">
        <v>-1.83</v>
      </c>
      <c r="P30" t="s">
        <v>216</v>
      </c>
      <c r="Q30" t="s">
        <v>216</v>
      </c>
      <c r="R30" t="s">
        <v>217</v>
      </c>
      <c r="S30" t="s">
        <v>217</v>
      </c>
      <c r="T30" t="s">
        <v>217</v>
      </c>
      <c r="U30" t="s">
        <v>216</v>
      </c>
      <c r="V30">
        <f t="shared" si="0"/>
        <v>5</v>
      </c>
      <c r="W30">
        <f t="shared" si="1"/>
        <v>16</v>
      </c>
      <c r="X30">
        <f t="shared" si="2"/>
        <v>0.7142857142857143</v>
      </c>
      <c r="Y30">
        <f t="shared" si="3"/>
        <v>2.2857142857142856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9</v>
      </c>
      <c r="AN30" s="1">
        <v>0</v>
      </c>
      <c r="AO30" s="1">
        <v>0</v>
      </c>
      <c r="AP30" s="1">
        <v>2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3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</row>
    <row r="31" spans="1:242" x14ac:dyDescent="0.25">
      <c r="A31">
        <v>15566</v>
      </c>
      <c r="B31">
        <v>20</v>
      </c>
      <c r="C31">
        <v>7</v>
      </c>
      <c r="D31" t="s">
        <v>218</v>
      </c>
      <c r="E31" t="s">
        <v>215</v>
      </c>
      <c r="F31">
        <v>4</v>
      </c>
      <c r="G31">
        <v>23.426916670000001</v>
      </c>
      <c r="H31">
        <v>7.3829166669999999</v>
      </c>
      <c r="I31">
        <v>13.20911012</v>
      </c>
      <c r="J31">
        <v>97.424999999999997</v>
      </c>
      <c r="K31">
        <v>30.475000000000001</v>
      </c>
      <c r="L31">
        <v>78.220486109999996</v>
      </c>
      <c r="M31">
        <v>10.976939610000001</v>
      </c>
      <c r="N31">
        <v>-3.07</v>
      </c>
      <c r="O31" s="8">
        <v>7.1300000000000002E-2</v>
      </c>
      <c r="P31" t="s">
        <v>216</v>
      </c>
      <c r="Q31" t="s">
        <v>216</v>
      </c>
      <c r="R31" t="s">
        <v>217</v>
      </c>
      <c r="S31" t="s">
        <v>217</v>
      </c>
      <c r="T31" t="s">
        <v>217</v>
      </c>
      <c r="U31" t="s">
        <v>216</v>
      </c>
      <c r="V31">
        <f t="shared" si="0"/>
        <v>6</v>
      </c>
      <c r="W31">
        <f t="shared" si="1"/>
        <v>13</v>
      </c>
      <c r="X31">
        <f t="shared" si="2"/>
        <v>0.8571428571428571</v>
      </c>
      <c r="Y31">
        <f t="shared" si="3"/>
        <v>1.8571428571428572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8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1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</row>
    <row r="32" spans="1:242" x14ac:dyDescent="0.25">
      <c r="A32">
        <v>15568</v>
      </c>
      <c r="B32">
        <v>6</v>
      </c>
      <c r="C32">
        <v>4</v>
      </c>
      <c r="D32" t="s">
        <v>214</v>
      </c>
      <c r="E32" t="s">
        <v>215</v>
      </c>
      <c r="F32">
        <v>4</v>
      </c>
      <c r="G32">
        <v>29.450583330000001</v>
      </c>
      <c r="H32">
        <v>7.042166667</v>
      </c>
      <c r="I32">
        <v>15.21665675</v>
      </c>
      <c r="J32">
        <v>97.575000000000003</v>
      </c>
      <c r="K32">
        <v>11.78333333</v>
      </c>
      <c r="L32">
        <v>58.959176589999998</v>
      </c>
      <c r="M32">
        <v>10.191013209999999</v>
      </c>
      <c r="N32">
        <v>-1.65</v>
      </c>
      <c r="O32">
        <v>-1.8</v>
      </c>
      <c r="P32" t="s">
        <v>216</v>
      </c>
      <c r="Q32" t="s">
        <v>217</v>
      </c>
      <c r="R32" t="s">
        <v>217</v>
      </c>
      <c r="S32" t="s">
        <v>217</v>
      </c>
      <c r="T32" t="s">
        <v>217</v>
      </c>
      <c r="U32" t="s">
        <v>216</v>
      </c>
      <c r="V32">
        <f t="shared" si="0"/>
        <v>18</v>
      </c>
      <c r="W32">
        <f t="shared" si="1"/>
        <v>32</v>
      </c>
      <c r="X32">
        <f t="shared" si="2"/>
        <v>4.5</v>
      </c>
      <c r="Y32">
        <f t="shared" si="3"/>
        <v>8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5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4</v>
      </c>
      <c r="BZ32" s="1">
        <v>4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4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2</v>
      </c>
      <c r="DC32" s="1">
        <v>1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1</v>
      </c>
      <c r="DP32" s="1">
        <v>0</v>
      </c>
      <c r="DQ32" s="1">
        <v>0</v>
      </c>
      <c r="DR32" s="1">
        <v>0</v>
      </c>
      <c r="DS32" s="1">
        <v>1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1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1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1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1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</row>
    <row r="33" spans="1:242" x14ac:dyDescent="0.25">
      <c r="A33">
        <v>15572</v>
      </c>
      <c r="B33">
        <v>6</v>
      </c>
      <c r="C33">
        <v>7</v>
      </c>
      <c r="D33" t="s">
        <v>218</v>
      </c>
      <c r="E33" t="s">
        <v>215</v>
      </c>
      <c r="F33">
        <v>4</v>
      </c>
      <c r="G33">
        <v>24.688083330000001</v>
      </c>
      <c r="H33">
        <v>7.3933333330000002</v>
      </c>
      <c r="I33">
        <v>13.39215972</v>
      </c>
      <c r="J33">
        <v>99.083333330000002</v>
      </c>
      <c r="K33">
        <v>29.583333329999999</v>
      </c>
      <c r="L33">
        <v>79.571428569999995</v>
      </c>
      <c r="M33">
        <v>10.976790830000001</v>
      </c>
      <c r="N33">
        <v>-3.11</v>
      </c>
      <c r="O33">
        <v>0.155</v>
      </c>
      <c r="P33" t="s">
        <v>216</v>
      </c>
      <c r="Q33" t="s">
        <v>217</v>
      </c>
      <c r="R33" t="s">
        <v>217</v>
      </c>
      <c r="S33" t="s">
        <v>217</v>
      </c>
      <c r="T33" t="s">
        <v>217</v>
      </c>
      <c r="U33" t="s">
        <v>216</v>
      </c>
      <c r="V33">
        <f t="shared" si="0"/>
        <v>20</v>
      </c>
      <c r="W33">
        <f t="shared" si="1"/>
        <v>51</v>
      </c>
      <c r="X33">
        <f t="shared" si="2"/>
        <v>2.8571428571428572</v>
      </c>
      <c r="Y33">
        <f t="shared" si="3"/>
        <v>7.2857142857142856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1</v>
      </c>
      <c r="AJ33" s="1">
        <v>0</v>
      </c>
      <c r="AK33" s="1">
        <v>0</v>
      </c>
      <c r="AL33" s="1">
        <v>0</v>
      </c>
      <c r="AM33" s="1">
        <v>3</v>
      </c>
      <c r="AN33" s="1">
        <v>1</v>
      </c>
      <c r="AO33" s="1">
        <v>8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3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5</v>
      </c>
      <c r="BZ33" s="1">
        <v>3</v>
      </c>
      <c r="CA33" s="1">
        <v>0</v>
      </c>
      <c r="CB33" s="1">
        <v>1</v>
      </c>
      <c r="CC33" s="1">
        <v>0</v>
      </c>
      <c r="CD33" s="1">
        <v>8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3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1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1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2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1</v>
      </c>
      <c r="FN33" s="1">
        <v>1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3</v>
      </c>
      <c r="IG33">
        <v>0</v>
      </c>
      <c r="IH33">
        <v>3</v>
      </c>
    </row>
    <row r="34" spans="1:242" x14ac:dyDescent="0.25">
      <c r="A34">
        <v>15573</v>
      </c>
      <c r="B34">
        <v>22</v>
      </c>
      <c r="C34">
        <v>7</v>
      </c>
      <c r="D34" t="s">
        <v>214</v>
      </c>
      <c r="E34" t="s">
        <v>215</v>
      </c>
      <c r="F34">
        <v>5</v>
      </c>
      <c r="G34">
        <v>30.409333329999999</v>
      </c>
      <c r="H34">
        <v>8.522583333</v>
      </c>
      <c r="I34">
        <v>15.25829762</v>
      </c>
      <c r="J34">
        <v>92.083333330000002</v>
      </c>
      <c r="K34">
        <v>11.09166667</v>
      </c>
      <c r="L34">
        <v>43.674255950000003</v>
      </c>
      <c r="M34">
        <v>10.059268640000001</v>
      </c>
      <c r="N34">
        <v>-0.47699999999999998</v>
      </c>
      <c r="O34">
        <v>-2.63</v>
      </c>
      <c r="P34" t="s">
        <v>217</v>
      </c>
      <c r="Q34" t="s">
        <v>216</v>
      </c>
      <c r="R34" t="s">
        <v>216</v>
      </c>
      <c r="S34" t="s">
        <v>217</v>
      </c>
      <c r="T34" t="s">
        <v>217</v>
      </c>
      <c r="U34" t="s">
        <v>217</v>
      </c>
      <c r="V34">
        <f t="shared" si="0"/>
        <v>12</v>
      </c>
      <c r="W34">
        <f t="shared" si="1"/>
        <v>19</v>
      </c>
      <c r="X34">
        <f t="shared" si="2"/>
        <v>1.7142857142857142</v>
      </c>
      <c r="Y34">
        <f t="shared" si="3"/>
        <v>2.7142857142857144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  <c r="AM34" s="1">
        <v>2</v>
      </c>
      <c r="AN34" s="1">
        <v>0</v>
      </c>
      <c r="AO34" s="1">
        <v>0</v>
      </c>
      <c r="AP34" s="1">
        <v>3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2</v>
      </c>
      <c r="CA34" s="1">
        <v>0</v>
      </c>
      <c r="CB34" s="1">
        <v>0</v>
      </c>
      <c r="CC34" s="1">
        <v>0</v>
      </c>
      <c r="CD34" s="1">
        <v>1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1</v>
      </c>
      <c r="FZ34" s="1">
        <v>0</v>
      </c>
      <c r="GA34" s="1">
        <v>0</v>
      </c>
      <c r="GB34" s="1">
        <v>1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1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</row>
    <row r="35" spans="1:242" x14ac:dyDescent="0.25">
      <c r="A35">
        <v>15577</v>
      </c>
      <c r="B35">
        <v>22</v>
      </c>
      <c r="C35">
        <v>7</v>
      </c>
      <c r="D35" t="s">
        <v>218</v>
      </c>
      <c r="E35" t="s">
        <v>215</v>
      </c>
      <c r="F35">
        <v>5</v>
      </c>
      <c r="G35">
        <v>24.519333329999998</v>
      </c>
      <c r="H35">
        <v>7.0612500000000002</v>
      </c>
      <c r="I35">
        <v>13.09902183</v>
      </c>
      <c r="J35">
        <v>93.083333330000002</v>
      </c>
      <c r="K35">
        <v>15.733333330000001</v>
      </c>
      <c r="L35">
        <v>62.257242060000003</v>
      </c>
      <c r="M35">
        <v>10.75563245</v>
      </c>
      <c r="N35">
        <v>-1.99</v>
      </c>
      <c r="O35">
        <v>-1.63</v>
      </c>
      <c r="P35" t="s">
        <v>217</v>
      </c>
      <c r="Q35" t="s">
        <v>216</v>
      </c>
      <c r="R35" t="s">
        <v>216</v>
      </c>
      <c r="S35" t="s">
        <v>217</v>
      </c>
      <c r="T35" t="s">
        <v>217</v>
      </c>
      <c r="U35" t="s">
        <v>217</v>
      </c>
      <c r="V35">
        <f t="shared" si="0"/>
        <v>12</v>
      </c>
      <c r="W35">
        <f t="shared" si="1"/>
        <v>17</v>
      </c>
      <c r="X35">
        <f t="shared" si="2"/>
        <v>1.7142857142857142</v>
      </c>
      <c r="Y35">
        <f t="shared" si="3"/>
        <v>2.4285714285714284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1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2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2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1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2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3</v>
      </c>
      <c r="IG35">
        <v>0</v>
      </c>
      <c r="IH35">
        <v>1</v>
      </c>
    </row>
    <row r="36" spans="1:242" x14ac:dyDescent="0.25">
      <c r="A36">
        <v>15583</v>
      </c>
      <c r="B36">
        <v>4</v>
      </c>
      <c r="C36">
        <v>7</v>
      </c>
      <c r="D36" t="s">
        <v>218</v>
      </c>
      <c r="E36" t="s">
        <v>215</v>
      </c>
      <c r="F36">
        <v>4</v>
      </c>
      <c r="G36">
        <v>21.266416670000002</v>
      </c>
      <c r="H36">
        <v>7.5629166669999996</v>
      </c>
      <c r="I36">
        <v>12.274997519999999</v>
      </c>
      <c r="J36">
        <v>99.041666669999998</v>
      </c>
      <c r="K36">
        <v>37.158333329999998</v>
      </c>
      <c r="L36">
        <v>83.444791670000001</v>
      </c>
      <c r="M36">
        <v>10.97671654</v>
      </c>
      <c r="N36">
        <v>-3.78</v>
      </c>
      <c r="O36">
        <v>0.68700000000000006</v>
      </c>
      <c r="P36" t="s">
        <v>216</v>
      </c>
      <c r="Q36" t="s">
        <v>217</v>
      </c>
      <c r="R36" t="s">
        <v>216</v>
      </c>
      <c r="S36" t="s">
        <v>217</v>
      </c>
      <c r="T36" t="s">
        <v>217</v>
      </c>
      <c r="U36" t="s">
        <v>216</v>
      </c>
      <c r="V36">
        <f t="shared" si="0"/>
        <v>3</v>
      </c>
      <c r="W36">
        <f t="shared" si="1"/>
        <v>3</v>
      </c>
      <c r="X36">
        <f t="shared" si="2"/>
        <v>0.42857142857142855</v>
      </c>
      <c r="Y36">
        <f t="shared" si="3"/>
        <v>0.42857142857142855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</row>
    <row r="37" spans="1:242" x14ac:dyDescent="0.25">
      <c r="A37">
        <v>15589</v>
      </c>
      <c r="B37">
        <v>5</v>
      </c>
      <c r="C37">
        <v>7</v>
      </c>
      <c r="D37" t="s">
        <v>218</v>
      </c>
      <c r="E37" t="s">
        <v>215</v>
      </c>
      <c r="F37">
        <v>3</v>
      </c>
      <c r="G37">
        <v>24.752833330000001</v>
      </c>
      <c r="H37">
        <v>8.6881666670000008</v>
      </c>
      <c r="I37">
        <v>13.45859226</v>
      </c>
      <c r="J37">
        <v>98.083333330000002</v>
      </c>
      <c r="K37">
        <v>32.4</v>
      </c>
      <c r="L37">
        <v>79.486706350000006</v>
      </c>
      <c r="M37">
        <v>10.97776065</v>
      </c>
      <c r="N37">
        <v>-2.9</v>
      </c>
      <c r="O37">
        <v>0.376</v>
      </c>
      <c r="P37" t="s">
        <v>216</v>
      </c>
      <c r="Q37" t="s">
        <v>216</v>
      </c>
      <c r="R37" t="s">
        <v>216</v>
      </c>
      <c r="S37" t="s">
        <v>217</v>
      </c>
      <c r="T37" t="s">
        <v>217</v>
      </c>
      <c r="U37" t="s">
        <v>216</v>
      </c>
      <c r="V37">
        <f t="shared" si="0"/>
        <v>24</v>
      </c>
      <c r="W37">
        <f t="shared" si="1"/>
        <v>78</v>
      </c>
      <c r="X37">
        <f t="shared" si="2"/>
        <v>3.4285714285714284</v>
      </c>
      <c r="Y37">
        <f t="shared" si="3"/>
        <v>11.142857142857142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1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1</v>
      </c>
      <c r="AR37" s="1">
        <v>2</v>
      </c>
      <c r="AS37" s="1">
        <v>1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2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3</v>
      </c>
      <c r="BZ37" s="1">
        <v>1</v>
      </c>
      <c r="CA37" s="1">
        <v>0</v>
      </c>
      <c r="CB37" s="1">
        <v>0</v>
      </c>
      <c r="CC37" s="1">
        <v>0</v>
      </c>
      <c r="CD37" s="1">
        <v>7</v>
      </c>
      <c r="CE37" s="1">
        <v>0</v>
      </c>
      <c r="CF37" s="1">
        <v>0</v>
      </c>
      <c r="CG37" s="1">
        <v>0</v>
      </c>
      <c r="CH37" s="1">
        <v>0</v>
      </c>
      <c r="CI37" s="1">
        <v>4</v>
      </c>
      <c r="CJ37" s="1">
        <v>1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3</v>
      </c>
      <c r="FZ37" s="1">
        <v>0</v>
      </c>
      <c r="GA37" s="1">
        <v>2</v>
      </c>
      <c r="GB37" s="1">
        <v>21</v>
      </c>
      <c r="GC37" s="1">
        <v>0</v>
      </c>
      <c r="GD37" s="1">
        <v>0</v>
      </c>
      <c r="GE37" s="1">
        <v>8</v>
      </c>
      <c r="GF37" s="1">
        <v>9</v>
      </c>
      <c r="GG37" s="1">
        <v>2</v>
      </c>
      <c r="GH37" s="1">
        <v>0</v>
      </c>
      <c r="GI37" s="1">
        <v>0</v>
      </c>
      <c r="GJ37" s="1">
        <v>1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3</v>
      </c>
    </row>
    <row r="38" spans="1:242" x14ac:dyDescent="0.25">
      <c r="A38">
        <v>15593</v>
      </c>
      <c r="B38">
        <v>19</v>
      </c>
      <c r="C38">
        <v>7</v>
      </c>
      <c r="D38" t="s">
        <v>218</v>
      </c>
      <c r="E38" t="s">
        <v>215</v>
      </c>
      <c r="F38">
        <v>9</v>
      </c>
      <c r="G38">
        <v>22.05841667</v>
      </c>
      <c r="H38">
        <v>6.3671666670000002</v>
      </c>
      <c r="I38">
        <v>13.570860120000001</v>
      </c>
      <c r="J38">
        <v>97.55</v>
      </c>
      <c r="K38">
        <v>16.324999999999999</v>
      </c>
      <c r="L38">
        <v>63.951091269999999</v>
      </c>
      <c r="M38">
        <v>10.75637805</v>
      </c>
      <c r="N38">
        <v>-2.75</v>
      </c>
      <c r="O38">
        <v>-1.31</v>
      </c>
      <c r="P38" t="s">
        <v>217</v>
      </c>
      <c r="Q38" t="s">
        <v>216</v>
      </c>
      <c r="R38" t="s">
        <v>216</v>
      </c>
      <c r="S38" t="s">
        <v>216</v>
      </c>
      <c r="T38" t="s">
        <v>216</v>
      </c>
      <c r="U38" t="s">
        <v>216</v>
      </c>
      <c r="V38">
        <f t="shared" si="0"/>
        <v>25</v>
      </c>
      <c r="W38">
        <f t="shared" si="1"/>
        <v>120</v>
      </c>
      <c r="X38">
        <f t="shared" si="2"/>
        <v>3.5714285714285716</v>
      </c>
      <c r="Y38">
        <f t="shared" si="3"/>
        <v>17.142857142857142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2</v>
      </c>
      <c r="AG38" s="1">
        <v>0</v>
      </c>
      <c r="AH38" s="1">
        <v>2</v>
      </c>
      <c r="AI38" s="1">
        <v>0</v>
      </c>
      <c r="AJ38" s="1">
        <v>0</v>
      </c>
      <c r="AK38" s="1">
        <v>0</v>
      </c>
      <c r="AL38" s="1">
        <v>0</v>
      </c>
      <c r="AM38" s="1">
        <v>12</v>
      </c>
      <c r="AN38" s="1">
        <v>1</v>
      </c>
      <c r="AO38" s="1">
        <v>4</v>
      </c>
      <c r="AP38" s="1">
        <v>8</v>
      </c>
      <c r="AQ38" s="1">
        <v>0</v>
      </c>
      <c r="AR38" s="1">
        <v>0</v>
      </c>
      <c r="AS38" s="1">
        <v>7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2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2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10</v>
      </c>
      <c r="CA38" s="1">
        <v>0</v>
      </c>
      <c r="CB38" s="1">
        <v>2</v>
      </c>
      <c r="CC38" s="1">
        <v>0</v>
      </c>
      <c r="CD38" s="1">
        <v>12</v>
      </c>
      <c r="CE38" s="1">
        <v>0</v>
      </c>
      <c r="CF38" s="1">
        <v>0</v>
      </c>
      <c r="CG38" s="1">
        <v>0</v>
      </c>
      <c r="CH38" s="1">
        <v>0</v>
      </c>
      <c r="CI38" s="1">
        <v>1</v>
      </c>
      <c r="CJ38" s="1">
        <v>0</v>
      </c>
      <c r="CK38" s="1">
        <v>0</v>
      </c>
      <c r="CL38" s="1">
        <v>0</v>
      </c>
      <c r="CM38" s="1">
        <v>1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23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5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1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1</v>
      </c>
      <c r="FU38" s="1">
        <v>0</v>
      </c>
      <c r="FV38" s="1">
        <v>0</v>
      </c>
      <c r="FW38" s="1">
        <v>0</v>
      </c>
      <c r="FX38" s="1">
        <v>0</v>
      </c>
      <c r="FY38" s="1">
        <v>1</v>
      </c>
      <c r="FZ38" s="1">
        <v>1</v>
      </c>
      <c r="GA38" s="1">
        <v>1</v>
      </c>
      <c r="GB38" s="1">
        <v>2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1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15</v>
      </c>
      <c r="IG38">
        <v>0</v>
      </c>
      <c r="IH38">
        <v>3</v>
      </c>
    </row>
    <row r="39" spans="1:242" x14ac:dyDescent="0.25">
      <c r="A39">
        <v>15600</v>
      </c>
      <c r="B39">
        <v>12</v>
      </c>
      <c r="C39">
        <v>7</v>
      </c>
      <c r="D39" t="s">
        <v>218</v>
      </c>
      <c r="E39" t="s">
        <v>215</v>
      </c>
      <c r="F39">
        <v>8</v>
      </c>
      <c r="G39">
        <v>24.264583330000001</v>
      </c>
      <c r="H39">
        <v>7.8070833329999996</v>
      </c>
      <c r="I39">
        <v>14.20691865</v>
      </c>
      <c r="J39">
        <v>97.691666670000004</v>
      </c>
      <c r="K39">
        <v>33.933333330000004</v>
      </c>
      <c r="L39">
        <v>77.967460320000001</v>
      </c>
      <c r="M39">
        <v>10.979703410000001</v>
      </c>
      <c r="N39">
        <v>-2.88</v>
      </c>
      <c r="O39">
        <v>0.33600000000000002</v>
      </c>
      <c r="P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>
        <f t="shared" si="0"/>
        <v>16</v>
      </c>
      <c r="W39">
        <f t="shared" si="1"/>
        <v>52</v>
      </c>
      <c r="X39">
        <f t="shared" si="2"/>
        <v>2.2857142857142856</v>
      </c>
      <c r="Y39">
        <f t="shared" si="3"/>
        <v>7.4285714285714288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5</v>
      </c>
      <c r="AI39" s="1">
        <v>0</v>
      </c>
      <c r="AJ39" s="1">
        <v>0</v>
      </c>
      <c r="AK39" s="1">
        <v>0</v>
      </c>
      <c r="AL39" s="1">
        <v>0</v>
      </c>
      <c r="AM39" s="1">
        <v>17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1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9</v>
      </c>
      <c r="CA39" s="1">
        <v>0</v>
      </c>
      <c r="CB39" s="1">
        <v>0</v>
      </c>
      <c r="CC39" s="1">
        <v>0</v>
      </c>
      <c r="CD39" s="1">
        <v>3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1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3</v>
      </c>
      <c r="CW39" s="1">
        <v>1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1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1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2</v>
      </c>
      <c r="FZ39" s="1">
        <v>0</v>
      </c>
      <c r="GA39" s="1">
        <v>1</v>
      </c>
      <c r="GB39" s="1">
        <v>1</v>
      </c>
      <c r="GC39" s="1">
        <v>0</v>
      </c>
      <c r="GD39" s="1">
        <v>0</v>
      </c>
      <c r="GE39" s="1">
        <v>0</v>
      </c>
      <c r="GF39" s="1">
        <v>1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4</v>
      </c>
    </row>
    <row r="40" spans="1:242" x14ac:dyDescent="0.25">
      <c r="A40">
        <v>15606</v>
      </c>
      <c r="B40">
        <v>26</v>
      </c>
      <c r="C40">
        <v>7</v>
      </c>
      <c r="D40" t="s">
        <v>218</v>
      </c>
      <c r="E40" t="s">
        <v>215</v>
      </c>
      <c r="F40">
        <v>9</v>
      </c>
      <c r="G40">
        <v>23.142583330000001</v>
      </c>
      <c r="H40">
        <v>7.8927500000000004</v>
      </c>
      <c r="I40">
        <v>13.50567708</v>
      </c>
      <c r="J40">
        <v>98.4</v>
      </c>
      <c r="K40">
        <v>35.633333329999999</v>
      </c>
      <c r="L40">
        <v>80.785962299999994</v>
      </c>
      <c r="M40">
        <v>10.97925672</v>
      </c>
      <c r="N40">
        <v>-3.25</v>
      </c>
      <c r="O40">
        <v>0.55300000000000005</v>
      </c>
      <c r="P40" t="s">
        <v>217</v>
      </c>
      <c r="Q40" t="s">
        <v>217</v>
      </c>
      <c r="R40" t="s">
        <v>217</v>
      </c>
      <c r="S40" t="s">
        <v>216</v>
      </c>
      <c r="T40" t="s">
        <v>216</v>
      </c>
      <c r="U40" t="s">
        <v>217</v>
      </c>
      <c r="V40">
        <f t="shared" si="0"/>
        <v>21</v>
      </c>
      <c r="W40">
        <f t="shared" si="1"/>
        <v>246</v>
      </c>
      <c r="X40">
        <f t="shared" si="2"/>
        <v>3</v>
      </c>
      <c r="Y40">
        <f t="shared" si="3"/>
        <v>35.142857142857146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8</v>
      </c>
      <c r="AN40" s="1">
        <v>7</v>
      </c>
      <c r="AO40" s="1">
        <v>2</v>
      </c>
      <c r="AP40" s="1">
        <v>3</v>
      </c>
      <c r="AQ40" s="1">
        <v>1</v>
      </c>
      <c r="AR40" s="1">
        <v>138</v>
      </c>
      <c r="AS40" s="1">
        <v>2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1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2</v>
      </c>
      <c r="BZ40" s="1">
        <v>35</v>
      </c>
      <c r="CA40" s="1">
        <v>0</v>
      </c>
      <c r="CB40" s="1">
        <v>0</v>
      </c>
      <c r="CC40" s="1">
        <v>0</v>
      </c>
      <c r="CD40" s="1">
        <v>16</v>
      </c>
      <c r="CE40" s="1">
        <v>0</v>
      </c>
      <c r="CF40" s="1">
        <v>0</v>
      </c>
      <c r="CG40" s="1">
        <v>0</v>
      </c>
      <c r="CH40" s="1">
        <v>0</v>
      </c>
      <c r="CI40" s="1">
        <v>6</v>
      </c>
      <c r="CJ40" s="1">
        <v>0</v>
      </c>
      <c r="CK40" s="1">
        <v>0</v>
      </c>
      <c r="CL40" s="1">
        <v>2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1</v>
      </c>
      <c r="CS40" s="1">
        <v>0</v>
      </c>
      <c r="CT40" s="1">
        <v>0</v>
      </c>
      <c r="CU40" s="1">
        <v>0</v>
      </c>
      <c r="CV40" s="1">
        <v>13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1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2</v>
      </c>
      <c r="GB40" s="1">
        <v>0</v>
      </c>
      <c r="GC40" s="1">
        <v>0</v>
      </c>
      <c r="GD40" s="1">
        <v>0</v>
      </c>
      <c r="GE40" s="1">
        <v>1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3</v>
      </c>
    </row>
    <row r="41" spans="1:242" x14ac:dyDescent="0.25">
      <c r="A41">
        <v>15608</v>
      </c>
      <c r="B41">
        <v>16</v>
      </c>
      <c r="C41">
        <v>7</v>
      </c>
      <c r="D41" t="s">
        <v>214</v>
      </c>
      <c r="E41" t="s">
        <v>215</v>
      </c>
      <c r="F41">
        <v>8</v>
      </c>
      <c r="G41">
        <v>30.197206789999999</v>
      </c>
      <c r="H41">
        <v>8.0312372449999998</v>
      </c>
      <c r="I41">
        <v>16.054185059999998</v>
      </c>
      <c r="J41">
        <v>92.015402140000006</v>
      </c>
      <c r="K41">
        <v>19.284497160000001</v>
      </c>
      <c r="L41">
        <v>46.072768160000003</v>
      </c>
      <c r="M41">
        <v>10.057589439999999</v>
      </c>
      <c r="N41">
        <v>-0.61299999999999999</v>
      </c>
      <c r="O41">
        <v>-2.13</v>
      </c>
      <c r="P41" t="s">
        <v>217</v>
      </c>
      <c r="Q41" t="s">
        <v>217</v>
      </c>
      <c r="R41" t="s">
        <v>217</v>
      </c>
      <c r="S41" t="s">
        <v>216</v>
      </c>
      <c r="T41" t="s">
        <v>216</v>
      </c>
      <c r="U41" t="s">
        <v>217</v>
      </c>
      <c r="V41">
        <f t="shared" si="0"/>
        <v>38</v>
      </c>
      <c r="W41">
        <f t="shared" si="1"/>
        <v>366</v>
      </c>
      <c r="X41">
        <f t="shared" si="2"/>
        <v>5.4285714285714288</v>
      </c>
      <c r="Y41">
        <f t="shared" si="3"/>
        <v>52.285714285714285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5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1">
        <v>57</v>
      </c>
      <c r="AN41" s="1">
        <v>1</v>
      </c>
      <c r="AO41" s="1">
        <v>0</v>
      </c>
      <c r="AP41" s="1">
        <v>5</v>
      </c>
      <c r="AQ41" s="1">
        <v>0</v>
      </c>
      <c r="AR41" s="1">
        <v>0</v>
      </c>
      <c r="AS41" s="1">
        <v>1</v>
      </c>
      <c r="AT41" s="1">
        <v>1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6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4</v>
      </c>
      <c r="BH41" s="1">
        <v>0</v>
      </c>
      <c r="BI41" s="1">
        <v>0</v>
      </c>
      <c r="BJ41" s="1">
        <v>0</v>
      </c>
      <c r="BK41" s="1">
        <v>0</v>
      </c>
      <c r="BL41" s="1">
        <v>3</v>
      </c>
      <c r="BM41" s="1">
        <v>2</v>
      </c>
      <c r="BN41" s="1">
        <v>0</v>
      </c>
      <c r="BO41" s="1">
        <v>0</v>
      </c>
      <c r="BP41" s="1">
        <v>2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4</v>
      </c>
      <c r="BZ41" s="1">
        <v>47</v>
      </c>
      <c r="CA41" s="1">
        <v>16</v>
      </c>
      <c r="CB41" s="1">
        <v>0</v>
      </c>
      <c r="CC41" s="1">
        <v>0</v>
      </c>
      <c r="CD41" s="1">
        <v>91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1</v>
      </c>
      <c r="CM41" s="1">
        <v>15</v>
      </c>
      <c r="CN41" s="1">
        <v>5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10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9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1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4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1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1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1</v>
      </c>
      <c r="FZ41" s="1">
        <v>1</v>
      </c>
      <c r="GA41" s="1">
        <v>41</v>
      </c>
      <c r="GB41" s="1">
        <v>7</v>
      </c>
      <c r="GC41" s="1">
        <v>0</v>
      </c>
      <c r="GD41" s="1">
        <v>0</v>
      </c>
      <c r="GE41" s="1">
        <v>6</v>
      </c>
      <c r="GF41" s="1">
        <v>3</v>
      </c>
      <c r="GG41" s="1">
        <v>2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2</v>
      </c>
      <c r="GQ41" s="1">
        <v>0</v>
      </c>
      <c r="GR41" s="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3</v>
      </c>
      <c r="IG41">
        <v>0</v>
      </c>
      <c r="IH41">
        <v>4</v>
      </c>
    </row>
    <row r="42" spans="1:242" x14ac:dyDescent="0.25">
      <c r="A42">
        <v>15611</v>
      </c>
      <c r="B42">
        <v>16</v>
      </c>
      <c r="C42">
        <v>7</v>
      </c>
      <c r="D42" t="s">
        <v>218</v>
      </c>
      <c r="E42" t="s">
        <v>215</v>
      </c>
      <c r="F42">
        <v>8</v>
      </c>
      <c r="G42">
        <v>24.233083329999999</v>
      </c>
      <c r="H42">
        <v>7.0949999999999998</v>
      </c>
      <c r="I42">
        <v>13.47177381</v>
      </c>
      <c r="J42">
        <v>97.458333330000002</v>
      </c>
      <c r="K42">
        <v>35.258333329999999</v>
      </c>
      <c r="L42">
        <v>79.084424600000006</v>
      </c>
      <c r="M42">
        <v>10.97766242</v>
      </c>
      <c r="N42">
        <v>-3.07</v>
      </c>
      <c r="O42">
        <v>0.315</v>
      </c>
      <c r="P42" t="s">
        <v>217</v>
      </c>
      <c r="Q42" t="s">
        <v>217</v>
      </c>
      <c r="R42" t="s">
        <v>217</v>
      </c>
      <c r="S42" t="s">
        <v>216</v>
      </c>
      <c r="T42" t="s">
        <v>216</v>
      </c>
      <c r="U42" t="s">
        <v>217</v>
      </c>
      <c r="V42">
        <f t="shared" si="0"/>
        <v>29</v>
      </c>
      <c r="W42">
        <f t="shared" si="1"/>
        <v>128</v>
      </c>
      <c r="X42">
        <f t="shared" si="2"/>
        <v>4.1428571428571432</v>
      </c>
      <c r="Y42">
        <f t="shared" si="3"/>
        <v>18.285714285714285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13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3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2</v>
      </c>
      <c r="BF42" s="1">
        <v>0</v>
      </c>
      <c r="BG42" s="1">
        <v>4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1</v>
      </c>
      <c r="BZ42" s="1">
        <v>8</v>
      </c>
      <c r="CA42" s="1">
        <v>6</v>
      </c>
      <c r="CB42" s="1">
        <v>0</v>
      </c>
      <c r="CC42" s="1">
        <v>0</v>
      </c>
      <c r="CD42" s="1">
        <v>33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2</v>
      </c>
      <c r="CN42" s="1">
        <v>1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1</v>
      </c>
      <c r="CU42" s="1">
        <v>0</v>
      </c>
      <c r="CV42" s="1">
        <v>11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2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1</v>
      </c>
      <c r="FA42" s="1">
        <v>0</v>
      </c>
      <c r="FB42" s="1">
        <v>0</v>
      </c>
      <c r="FC42" s="1">
        <v>0</v>
      </c>
      <c r="FD42" s="1">
        <v>1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1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2</v>
      </c>
      <c r="FZ42" s="1">
        <v>0</v>
      </c>
      <c r="GA42" s="1">
        <v>9</v>
      </c>
      <c r="GB42" s="1">
        <v>2</v>
      </c>
      <c r="GC42" s="1">
        <v>0</v>
      </c>
      <c r="GD42" s="1">
        <v>0</v>
      </c>
      <c r="GE42" s="1">
        <v>5</v>
      </c>
      <c r="GF42" s="1">
        <v>11</v>
      </c>
      <c r="GG42" s="1">
        <v>2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1</v>
      </c>
      <c r="IG42">
        <v>0</v>
      </c>
      <c r="IH42">
        <v>1</v>
      </c>
    </row>
    <row r="43" spans="1:242" x14ac:dyDescent="0.25">
      <c r="A43">
        <v>15617</v>
      </c>
      <c r="B43">
        <v>18</v>
      </c>
      <c r="C43">
        <v>9</v>
      </c>
      <c r="D43" t="s">
        <v>218</v>
      </c>
      <c r="E43" t="s">
        <v>215</v>
      </c>
      <c r="F43">
        <v>9</v>
      </c>
      <c r="G43">
        <v>22.907250000000001</v>
      </c>
      <c r="H43">
        <v>6.3207500000000003</v>
      </c>
      <c r="I43">
        <v>12.989285710000001</v>
      </c>
      <c r="J43">
        <v>97.641666670000006</v>
      </c>
      <c r="K43">
        <v>37.875</v>
      </c>
      <c r="L43">
        <v>81.257341269999998</v>
      </c>
      <c r="M43">
        <v>10.978427079999999</v>
      </c>
      <c r="N43">
        <v>-3.46</v>
      </c>
      <c r="O43">
        <v>0.45400000000000001</v>
      </c>
      <c r="P43" t="s">
        <v>216</v>
      </c>
      <c r="Q43" t="s">
        <v>217</v>
      </c>
      <c r="R43" t="s">
        <v>217</v>
      </c>
      <c r="S43" t="s">
        <v>217</v>
      </c>
      <c r="T43" t="s">
        <v>217</v>
      </c>
      <c r="U43" t="s">
        <v>217</v>
      </c>
      <c r="V43">
        <f t="shared" si="0"/>
        <v>21</v>
      </c>
      <c r="W43">
        <f t="shared" si="1"/>
        <v>260</v>
      </c>
      <c r="X43">
        <f t="shared" si="2"/>
        <v>2.3333333333333335</v>
      </c>
      <c r="Y43">
        <f t="shared" si="3"/>
        <v>28.888888888888889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116</v>
      </c>
      <c r="AN43" s="1">
        <v>3</v>
      </c>
      <c r="AO43" s="1">
        <v>0</v>
      </c>
      <c r="AP43" s="1">
        <v>3</v>
      </c>
      <c r="AQ43" s="1">
        <v>1</v>
      </c>
      <c r="AR43" s="1">
        <v>0</v>
      </c>
      <c r="AS43" s="1">
        <v>1</v>
      </c>
      <c r="AT43" s="1">
        <v>1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3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5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</v>
      </c>
      <c r="BV43" s="1">
        <v>0</v>
      </c>
      <c r="BW43" s="1">
        <v>0</v>
      </c>
      <c r="BX43" s="1">
        <v>0</v>
      </c>
      <c r="BY43" s="1">
        <v>0</v>
      </c>
      <c r="BZ43" s="1">
        <v>2</v>
      </c>
      <c r="CA43" s="1">
        <v>3</v>
      </c>
      <c r="CB43" s="1">
        <v>1</v>
      </c>
      <c r="CC43" s="1">
        <v>0</v>
      </c>
      <c r="CD43" s="1">
        <v>81</v>
      </c>
      <c r="CE43" s="1">
        <v>0</v>
      </c>
      <c r="CF43" s="1">
        <v>0</v>
      </c>
      <c r="CG43" s="1">
        <v>0</v>
      </c>
      <c r="CH43" s="1">
        <v>0</v>
      </c>
      <c r="CI43" s="1">
        <v>1</v>
      </c>
      <c r="CJ43" s="1">
        <v>0</v>
      </c>
      <c r="CK43" s="1">
        <v>0</v>
      </c>
      <c r="CL43" s="1">
        <v>1</v>
      </c>
      <c r="CM43" s="1">
        <v>0</v>
      </c>
      <c r="CN43" s="1">
        <v>1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10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13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11</v>
      </c>
    </row>
    <row r="44" spans="1:242" x14ac:dyDescent="0.25">
      <c r="A44">
        <v>15621</v>
      </c>
      <c r="B44">
        <v>11</v>
      </c>
      <c r="C44">
        <v>8</v>
      </c>
      <c r="D44" t="s">
        <v>218</v>
      </c>
      <c r="E44" t="s">
        <v>215</v>
      </c>
      <c r="F44">
        <v>8</v>
      </c>
      <c r="G44">
        <v>22.533333330000001</v>
      </c>
      <c r="H44">
        <v>8.9114166669999992</v>
      </c>
      <c r="I44">
        <v>13.87603373</v>
      </c>
      <c r="J44">
        <v>96.133333329999999</v>
      </c>
      <c r="K44">
        <v>38.450000000000003</v>
      </c>
      <c r="L44">
        <v>77.673363100000003</v>
      </c>
      <c r="M44">
        <v>10.97861741</v>
      </c>
      <c r="N44">
        <v>-2.9</v>
      </c>
      <c r="O44">
        <v>0.58899999999999997</v>
      </c>
      <c r="P44" t="s">
        <v>217</v>
      </c>
      <c r="Q44" t="s">
        <v>216</v>
      </c>
      <c r="R44" t="s">
        <v>217</v>
      </c>
      <c r="S44" t="s">
        <v>217</v>
      </c>
      <c r="T44" t="s">
        <v>217</v>
      </c>
      <c r="U44" t="s">
        <v>217</v>
      </c>
      <c r="V44">
        <f t="shared" si="0"/>
        <v>12</v>
      </c>
      <c r="W44">
        <f t="shared" si="1"/>
        <v>23</v>
      </c>
      <c r="X44">
        <f t="shared" si="2"/>
        <v>1.5</v>
      </c>
      <c r="Y44">
        <f t="shared" si="3"/>
        <v>2.875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2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3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4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1</v>
      </c>
      <c r="CO44" s="1">
        <v>2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5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1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1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1</v>
      </c>
      <c r="GC44" s="1">
        <v>1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</row>
    <row r="45" spans="1:242" x14ac:dyDescent="0.25">
      <c r="A45">
        <v>15627</v>
      </c>
      <c r="B45">
        <v>8</v>
      </c>
      <c r="C45">
        <v>7</v>
      </c>
      <c r="D45" t="s">
        <v>218</v>
      </c>
      <c r="E45" t="s">
        <v>215</v>
      </c>
      <c r="F45">
        <v>9</v>
      </c>
      <c r="G45">
        <v>24.9506689</v>
      </c>
      <c r="H45">
        <v>8.2623538439999997</v>
      </c>
      <c r="I45">
        <v>15.303063590000001</v>
      </c>
      <c r="J45">
        <v>95.498435180000001</v>
      </c>
      <c r="K45">
        <v>36.058062300000003</v>
      </c>
      <c r="L45">
        <v>76.669357110000007</v>
      </c>
      <c r="M45">
        <v>10.98040095</v>
      </c>
      <c r="N45">
        <v>-2.4</v>
      </c>
      <c r="O45">
        <v>0.38600000000000001</v>
      </c>
      <c r="P45" t="s">
        <v>216</v>
      </c>
      <c r="Q45" t="s">
        <v>216</v>
      </c>
      <c r="R45" t="s">
        <v>217</v>
      </c>
      <c r="S45" t="s">
        <v>217</v>
      </c>
      <c r="T45" t="s">
        <v>217</v>
      </c>
      <c r="U45" t="s">
        <v>216</v>
      </c>
      <c r="V45">
        <f t="shared" si="0"/>
        <v>0</v>
      </c>
      <c r="W45">
        <f t="shared" si="1"/>
        <v>0</v>
      </c>
      <c r="X45">
        <f t="shared" si="2"/>
        <v>0</v>
      </c>
      <c r="Y45">
        <f t="shared" si="3"/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</row>
    <row r="46" spans="1:242" x14ac:dyDescent="0.25">
      <c r="A46">
        <v>15634</v>
      </c>
      <c r="B46">
        <v>10</v>
      </c>
      <c r="C46">
        <v>7</v>
      </c>
      <c r="D46" t="s">
        <v>218</v>
      </c>
      <c r="E46" t="s">
        <v>215</v>
      </c>
      <c r="F46">
        <v>8</v>
      </c>
      <c r="G46">
        <v>26.458749999999998</v>
      </c>
      <c r="H46">
        <v>6.1871666669999996</v>
      </c>
      <c r="I46">
        <v>14.7396379</v>
      </c>
      <c r="J46">
        <v>97.733333329999994</v>
      </c>
      <c r="K46">
        <v>30.925000000000001</v>
      </c>
      <c r="L46">
        <v>76.570287699999994</v>
      </c>
      <c r="M46">
        <v>10.981093420000001</v>
      </c>
      <c r="N46">
        <v>-2.67</v>
      </c>
      <c r="O46" s="8">
        <v>-3.5099999999999999E-2</v>
      </c>
      <c r="P46" t="s">
        <v>216</v>
      </c>
      <c r="Q46" t="s">
        <v>217</v>
      </c>
      <c r="R46" t="s">
        <v>217</v>
      </c>
      <c r="S46" t="s">
        <v>217</v>
      </c>
      <c r="T46" t="s">
        <v>217</v>
      </c>
      <c r="U46" t="s">
        <v>217</v>
      </c>
      <c r="V46">
        <f t="shared" si="0"/>
        <v>5</v>
      </c>
      <c r="W46">
        <f t="shared" si="1"/>
        <v>25</v>
      </c>
      <c r="X46">
        <f t="shared" si="2"/>
        <v>0.7142857142857143</v>
      </c>
      <c r="Y46">
        <f t="shared" si="3"/>
        <v>3.5714285714285716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21</v>
      </c>
      <c r="AN46" s="1">
        <v>0</v>
      </c>
      <c r="AO46" s="1">
        <v>0</v>
      </c>
      <c r="AP46" s="1">
        <v>1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</v>
      </c>
      <c r="CA46" s="1">
        <v>0</v>
      </c>
      <c r="CB46" s="1">
        <v>0</v>
      </c>
      <c r="CC46" s="1">
        <v>0</v>
      </c>
      <c r="CD46" s="1">
        <v>1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</row>
    <row r="47" spans="1:242" x14ac:dyDescent="0.25">
      <c r="A47">
        <v>15640</v>
      </c>
      <c r="B47">
        <v>14</v>
      </c>
      <c r="C47">
        <v>7</v>
      </c>
      <c r="D47" t="s">
        <v>218</v>
      </c>
      <c r="E47" t="s">
        <v>215</v>
      </c>
      <c r="F47">
        <v>3</v>
      </c>
      <c r="G47">
        <v>25.277583329999999</v>
      </c>
      <c r="H47">
        <v>7.4184999999999999</v>
      </c>
      <c r="I47">
        <v>13.315383929999999</v>
      </c>
      <c r="J47">
        <v>98.108333329999994</v>
      </c>
      <c r="K47">
        <v>33.783333329999998</v>
      </c>
      <c r="L47">
        <v>78.317609129999994</v>
      </c>
      <c r="M47">
        <v>10.978389330000001</v>
      </c>
      <c r="N47">
        <v>-2.98</v>
      </c>
      <c r="O47">
        <v>0.247</v>
      </c>
      <c r="P47" t="s">
        <v>217</v>
      </c>
      <c r="Q47" t="s">
        <v>217</v>
      </c>
      <c r="R47" t="s">
        <v>217</v>
      </c>
      <c r="S47" t="s">
        <v>216</v>
      </c>
      <c r="T47" t="s">
        <v>216</v>
      </c>
      <c r="U47" t="s">
        <v>217</v>
      </c>
      <c r="V47">
        <f t="shared" si="0"/>
        <v>15</v>
      </c>
      <c r="W47">
        <f t="shared" si="1"/>
        <v>66</v>
      </c>
      <c r="X47">
        <f t="shared" si="2"/>
        <v>2.1428571428571428</v>
      </c>
      <c r="Y47">
        <f t="shared" si="3"/>
        <v>9.4285714285714288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8</v>
      </c>
      <c r="AN47" s="1">
        <v>0</v>
      </c>
      <c r="AO47" s="1">
        <v>4</v>
      </c>
      <c r="AP47" s="1">
        <v>0</v>
      </c>
      <c r="AQ47" s="1">
        <v>1</v>
      </c>
      <c r="AR47" s="1">
        <v>3</v>
      </c>
      <c r="AS47" s="1">
        <v>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24</v>
      </c>
      <c r="BZ47" s="1">
        <v>2</v>
      </c>
      <c r="CA47" s="1">
        <v>0</v>
      </c>
      <c r="CB47" s="1">
        <v>1</v>
      </c>
      <c r="CC47" s="1">
        <v>0</v>
      </c>
      <c r="CD47" s="1">
        <v>11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1</v>
      </c>
      <c r="CT47" s="1">
        <v>0</v>
      </c>
      <c r="CU47" s="1">
        <v>0</v>
      </c>
      <c r="CV47" s="1">
        <v>3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2</v>
      </c>
      <c r="GI47" s="1">
        <v>0</v>
      </c>
      <c r="GJ47" s="1">
        <v>2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</row>
    <row r="48" spans="1:242" x14ac:dyDescent="0.25">
      <c r="A48">
        <v>15644</v>
      </c>
      <c r="B48">
        <v>1</v>
      </c>
      <c r="C48">
        <v>7</v>
      </c>
      <c r="D48" t="s">
        <v>219</v>
      </c>
      <c r="E48" t="s">
        <v>220</v>
      </c>
      <c r="F48">
        <v>9</v>
      </c>
      <c r="G48">
        <v>31.153749999999999</v>
      </c>
      <c r="H48">
        <v>9.7615833330000008</v>
      </c>
      <c r="I48">
        <v>18.024394390000001</v>
      </c>
      <c r="J48">
        <v>99.533333330000005</v>
      </c>
      <c r="K48">
        <v>12.375</v>
      </c>
      <c r="L48">
        <v>63.427759739999999</v>
      </c>
      <c r="M48">
        <v>11.948754620000001</v>
      </c>
      <c r="N48">
        <v>-0.82599999999999996</v>
      </c>
      <c r="O48">
        <v>-0.71399999999999997</v>
      </c>
      <c r="P48" t="s">
        <v>216</v>
      </c>
      <c r="Q48" t="s">
        <v>216</v>
      </c>
      <c r="R48" t="s">
        <v>216</v>
      </c>
      <c r="S48" t="s">
        <v>216</v>
      </c>
      <c r="T48" t="s">
        <v>216</v>
      </c>
      <c r="U48" t="s">
        <v>216</v>
      </c>
      <c r="V48">
        <f t="shared" si="0"/>
        <v>25</v>
      </c>
      <c r="W48">
        <f t="shared" si="1"/>
        <v>80</v>
      </c>
      <c r="X48">
        <f t="shared" si="2"/>
        <v>3.5714285714285716</v>
      </c>
      <c r="Y48">
        <f t="shared" si="3"/>
        <v>11.428571428571429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1</v>
      </c>
      <c r="AQ48" s="1">
        <v>0</v>
      </c>
      <c r="AR48" s="1">
        <v>2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2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0</v>
      </c>
      <c r="BO48" s="1">
        <v>2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3</v>
      </c>
      <c r="BX48" s="1">
        <v>0</v>
      </c>
      <c r="BY48" s="1">
        <v>3</v>
      </c>
      <c r="BZ48" s="1">
        <v>4</v>
      </c>
      <c r="CA48" s="1">
        <v>4</v>
      </c>
      <c r="CB48" s="1">
        <v>1</v>
      </c>
      <c r="CC48" s="1">
        <v>0</v>
      </c>
      <c r="CD48" s="1">
        <v>16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2</v>
      </c>
      <c r="CL48" s="1">
        <v>0</v>
      </c>
      <c r="CM48" s="1">
        <v>0</v>
      </c>
      <c r="CN48" s="1">
        <v>0</v>
      </c>
      <c r="CO48" s="1">
        <v>1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6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6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13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4</v>
      </c>
      <c r="EL48" s="1">
        <v>0</v>
      </c>
      <c r="EM48" s="1">
        <v>0</v>
      </c>
      <c r="EN48" s="1">
        <v>0</v>
      </c>
      <c r="EO48" s="1">
        <v>0</v>
      </c>
      <c r="EP48" s="1">
        <v>1</v>
      </c>
      <c r="EQ48" s="1">
        <v>0</v>
      </c>
      <c r="ER48" s="1">
        <v>1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1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2</v>
      </c>
      <c r="FN48" s="1">
        <v>1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1</v>
      </c>
      <c r="GH48" s="1">
        <v>1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</row>
    <row r="49" spans="1:242" x14ac:dyDescent="0.25">
      <c r="A49">
        <v>15645</v>
      </c>
      <c r="B49">
        <v>7</v>
      </c>
      <c r="C49">
        <v>7</v>
      </c>
      <c r="D49" t="s">
        <v>218</v>
      </c>
      <c r="E49" t="s">
        <v>215</v>
      </c>
      <c r="F49">
        <v>3</v>
      </c>
      <c r="G49">
        <v>24.775166670000001</v>
      </c>
      <c r="H49">
        <v>7.8178333330000003</v>
      </c>
      <c r="I49">
        <v>13.438053569999999</v>
      </c>
      <c r="J49">
        <v>98.966666669999995</v>
      </c>
      <c r="K49">
        <v>32.6</v>
      </c>
      <c r="L49">
        <v>79.163888889999996</v>
      </c>
      <c r="M49">
        <v>10.97737616</v>
      </c>
      <c r="N49">
        <v>-3.07</v>
      </c>
      <c r="O49">
        <v>0.32300000000000001</v>
      </c>
      <c r="P49" t="s">
        <v>216</v>
      </c>
      <c r="Q49" t="s">
        <v>216</v>
      </c>
      <c r="R49" t="s">
        <v>217</v>
      </c>
      <c r="S49" t="s">
        <v>216</v>
      </c>
      <c r="T49" t="s">
        <v>216</v>
      </c>
      <c r="U49" t="s">
        <v>217</v>
      </c>
      <c r="V49">
        <f t="shared" si="0"/>
        <v>19</v>
      </c>
      <c r="W49">
        <f t="shared" si="1"/>
        <v>36</v>
      </c>
      <c r="X49">
        <f t="shared" si="2"/>
        <v>2.7142857142857144</v>
      </c>
      <c r="Y49">
        <f t="shared" si="3"/>
        <v>5.1428571428571432</v>
      </c>
      <c r="Z49" s="1">
        <v>0</v>
      </c>
      <c r="AA49" s="1">
        <v>2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2</v>
      </c>
      <c r="AP49" s="1">
        <v>1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2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5</v>
      </c>
      <c r="BZ49" s="1">
        <v>5</v>
      </c>
      <c r="CA49" s="1">
        <v>0</v>
      </c>
      <c r="CB49" s="1">
        <v>2</v>
      </c>
      <c r="CC49" s="1">
        <v>0</v>
      </c>
      <c r="CD49" s="1">
        <v>5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1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0</v>
      </c>
      <c r="CX49" s="1">
        <v>0</v>
      </c>
      <c r="CY49" s="1">
        <v>0</v>
      </c>
      <c r="CZ49" s="1">
        <v>1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1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1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2</v>
      </c>
      <c r="FV49" s="1">
        <v>0</v>
      </c>
      <c r="FW49" s="1">
        <v>0</v>
      </c>
      <c r="FX49" s="1">
        <v>0</v>
      </c>
      <c r="FY49" s="1">
        <v>1</v>
      </c>
      <c r="FZ49" s="1">
        <v>0</v>
      </c>
      <c r="GA49" s="1">
        <v>0</v>
      </c>
      <c r="GB49" s="1">
        <v>1</v>
      </c>
      <c r="GC49" s="1">
        <v>0</v>
      </c>
      <c r="GD49" s="1">
        <v>0</v>
      </c>
      <c r="GE49" s="1">
        <v>0</v>
      </c>
      <c r="GF49" s="1">
        <v>1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</row>
    <row r="50" spans="1:242" x14ac:dyDescent="0.25">
      <c r="A50">
        <v>15651</v>
      </c>
      <c r="B50">
        <v>24</v>
      </c>
      <c r="C50">
        <v>7</v>
      </c>
      <c r="D50" t="s">
        <v>218</v>
      </c>
      <c r="E50" t="s">
        <v>215</v>
      </c>
      <c r="F50">
        <v>3</v>
      </c>
      <c r="G50">
        <v>18.075083329999998</v>
      </c>
      <c r="H50">
        <v>9.8191666669999993</v>
      </c>
      <c r="I50">
        <v>13.013618060000001</v>
      </c>
      <c r="J50">
        <v>98.8</v>
      </c>
      <c r="K50">
        <v>30.258333329999999</v>
      </c>
      <c r="L50">
        <v>79.400099209999993</v>
      </c>
      <c r="M50">
        <v>10.97594539</v>
      </c>
      <c r="N50">
        <v>-3.57</v>
      </c>
      <c r="O50">
        <v>0.505</v>
      </c>
      <c r="P50" t="s">
        <v>217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>
        <f t="shared" si="0"/>
        <v>19</v>
      </c>
      <c r="W50">
        <f t="shared" si="1"/>
        <v>75</v>
      </c>
      <c r="X50">
        <f t="shared" si="2"/>
        <v>2.7142857142857144</v>
      </c>
      <c r="Y50">
        <f t="shared" si="3"/>
        <v>10.714285714285714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5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24</v>
      </c>
      <c r="AN50" s="1">
        <v>0</v>
      </c>
      <c r="AO50" s="1">
        <v>1</v>
      </c>
      <c r="AP50" s="1">
        <v>1</v>
      </c>
      <c r="AQ50" s="1">
        <v>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15</v>
      </c>
      <c r="BZ50" s="1">
        <v>6</v>
      </c>
      <c r="CA50" s="1">
        <v>0</v>
      </c>
      <c r="CB50" s="1">
        <v>0</v>
      </c>
      <c r="CC50" s="1">
        <v>0</v>
      </c>
      <c r="CD50" s="1">
        <v>5</v>
      </c>
      <c r="CE50" s="1">
        <v>0</v>
      </c>
      <c r="CF50" s="1">
        <v>0</v>
      </c>
      <c r="CG50" s="1">
        <v>0</v>
      </c>
      <c r="CH50" s="1">
        <v>0</v>
      </c>
      <c r="CI50" s="1">
        <v>1</v>
      </c>
      <c r="CJ50" s="1">
        <v>2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1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1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1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1</v>
      </c>
      <c r="GE50" s="1">
        <v>0</v>
      </c>
      <c r="GF50" s="1">
        <v>1</v>
      </c>
      <c r="GG50" s="1">
        <v>0</v>
      </c>
      <c r="GH50" s="1">
        <v>0</v>
      </c>
      <c r="GI50" s="1">
        <v>0</v>
      </c>
      <c r="GJ50" s="1">
        <v>2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</row>
    <row r="51" spans="1:242" x14ac:dyDescent="0.25">
      <c r="A51">
        <v>15655</v>
      </c>
      <c r="B51">
        <v>31</v>
      </c>
      <c r="C51">
        <v>7</v>
      </c>
      <c r="D51" t="s">
        <v>218</v>
      </c>
      <c r="E51" t="s">
        <v>215</v>
      </c>
      <c r="F51">
        <v>4</v>
      </c>
      <c r="G51">
        <v>24.126750000000001</v>
      </c>
      <c r="H51">
        <v>7.9116666670000004</v>
      </c>
      <c r="I51">
        <v>13.11415377</v>
      </c>
      <c r="J51">
        <v>98.583333330000002</v>
      </c>
      <c r="K51">
        <v>32.883333329999999</v>
      </c>
      <c r="L51">
        <v>78.389236109999999</v>
      </c>
      <c r="M51">
        <v>10.97734882</v>
      </c>
      <c r="N51">
        <v>-3.12</v>
      </c>
      <c r="O51">
        <v>0.28599999999999998</v>
      </c>
      <c r="P51" t="s">
        <v>217</v>
      </c>
      <c r="Q51" t="s">
        <v>216</v>
      </c>
      <c r="R51" t="s">
        <v>217</v>
      </c>
      <c r="S51" t="s">
        <v>216</v>
      </c>
      <c r="T51" t="s">
        <v>216</v>
      </c>
      <c r="U51" t="s">
        <v>217</v>
      </c>
      <c r="V51">
        <f t="shared" si="0"/>
        <v>19</v>
      </c>
      <c r="W51">
        <f t="shared" si="1"/>
        <v>109</v>
      </c>
      <c r="X51">
        <f t="shared" si="2"/>
        <v>2.7142857142857144</v>
      </c>
      <c r="Y51">
        <f t="shared" si="3"/>
        <v>15.571428571428571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20</v>
      </c>
      <c r="AN51" s="1">
        <v>0</v>
      </c>
      <c r="AO51" s="1">
        <v>1</v>
      </c>
      <c r="AP51" s="1">
        <v>0</v>
      </c>
      <c r="AQ51" s="1">
        <v>1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16</v>
      </c>
      <c r="BG51" s="1">
        <v>12</v>
      </c>
      <c r="BH51" s="1">
        <v>0</v>
      </c>
      <c r="BI51" s="1">
        <v>0</v>
      </c>
      <c r="BJ51" s="1">
        <v>0</v>
      </c>
      <c r="BK51" s="1">
        <v>0</v>
      </c>
      <c r="BL51" s="1">
        <v>7</v>
      </c>
      <c r="BM51" s="1">
        <v>0</v>
      </c>
      <c r="BN51" s="1">
        <v>0</v>
      </c>
      <c r="BO51" s="1">
        <v>0</v>
      </c>
      <c r="BP51" s="1">
        <v>0</v>
      </c>
      <c r="BQ51" s="1">
        <v>2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6</v>
      </c>
      <c r="BZ51" s="1">
        <v>4</v>
      </c>
      <c r="CA51" s="1">
        <v>0</v>
      </c>
      <c r="CB51" s="1">
        <v>9</v>
      </c>
      <c r="CC51" s="1">
        <v>0</v>
      </c>
      <c r="CD51" s="1">
        <v>7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2</v>
      </c>
      <c r="CQ51" s="1">
        <v>0</v>
      </c>
      <c r="CR51" s="1">
        <v>1</v>
      </c>
      <c r="CS51" s="1">
        <v>1</v>
      </c>
      <c r="CT51" s="1">
        <v>0</v>
      </c>
      <c r="CU51" s="1">
        <v>0</v>
      </c>
      <c r="CV51" s="1">
        <v>15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2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</row>
    <row r="52" spans="1:242" x14ac:dyDescent="0.25">
      <c r="A52">
        <v>15659</v>
      </c>
      <c r="B52">
        <v>23</v>
      </c>
      <c r="C52">
        <v>7</v>
      </c>
      <c r="D52" t="s">
        <v>218</v>
      </c>
      <c r="E52" t="s">
        <v>215</v>
      </c>
      <c r="F52">
        <v>5</v>
      </c>
      <c r="G52">
        <v>26.678249999999998</v>
      </c>
      <c r="H52">
        <v>5.725333333</v>
      </c>
      <c r="I52">
        <v>13.480105160000001</v>
      </c>
      <c r="J52">
        <v>97.75</v>
      </c>
      <c r="K52">
        <v>28.133333329999999</v>
      </c>
      <c r="L52">
        <v>77.449107139999995</v>
      </c>
      <c r="M52">
        <v>10.976860090000001</v>
      </c>
      <c r="N52">
        <v>-2.84</v>
      </c>
      <c r="O52">
        <v>-0.26700000000000002</v>
      </c>
      <c r="P52" t="s">
        <v>217</v>
      </c>
      <c r="Q52" t="s">
        <v>217</v>
      </c>
      <c r="R52" t="s">
        <v>216</v>
      </c>
      <c r="S52" t="s">
        <v>216</v>
      </c>
      <c r="T52" t="s">
        <v>216</v>
      </c>
      <c r="U52" t="s">
        <v>217</v>
      </c>
      <c r="V52">
        <f t="shared" si="0"/>
        <v>15</v>
      </c>
      <c r="W52">
        <f t="shared" si="1"/>
        <v>58</v>
      </c>
      <c r="X52">
        <f t="shared" si="2"/>
        <v>2.1428571428571428</v>
      </c>
      <c r="Y52">
        <f t="shared" si="3"/>
        <v>8.2857142857142865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2</v>
      </c>
      <c r="AJ52" s="1">
        <v>0</v>
      </c>
      <c r="AK52" s="1">
        <v>0</v>
      </c>
      <c r="AL52" s="1">
        <v>0</v>
      </c>
      <c r="AM52" s="1">
        <v>20</v>
      </c>
      <c r="AN52" s="1">
        <v>0</v>
      </c>
      <c r="AO52" s="1">
        <v>0</v>
      </c>
      <c r="AP52" s="1">
        <v>1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2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5</v>
      </c>
      <c r="CA52" s="1">
        <v>0</v>
      </c>
      <c r="CB52" s="1">
        <v>0</v>
      </c>
      <c r="CC52" s="1">
        <v>0</v>
      </c>
      <c r="CD52" s="1">
        <v>16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1</v>
      </c>
      <c r="CM52" s="1">
        <v>3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2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1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1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1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</row>
    <row r="53" spans="1:242" x14ac:dyDescent="0.25">
      <c r="A53">
        <v>15663</v>
      </c>
      <c r="B53">
        <v>23</v>
      </c>
      <c r="C53">
        <v>7</v>
      </c>
      <c r="D53" t="s">
        <v>219</v>
      </c>
      <c r="E53" t="s">
        <v>220</v>
      </c>
      <c r="F53">
        <v>5</v>
      </c>
      <c r="G53">
        <v>32.058250000000001</v>
      </c>
      <c r="H53">
        <v>6.7770833330000002</v>
      </c>
      <c r="I53">
        <v>17.92025198</v>
      </c>
      <c r="J53">
        <v>97.35</v>
      </c>
      <c r="K53">
        <v>13.9</v>
      </c>
      <c r="L53">
        <v>60.013266590000001</v>
      </c>
      <c r="M53">
        <v>11.9482324</v>
      </c>
      <c r="N53">
        <v>-0.746</v>
      </c>
      <c r="O53">
        <v>-1.22</v>
      </c>
      <c r="P53" t="s">
        <v>217</v>
      </c>
      <c r="Q53" t="s">
        <v>217</v>
      </c>
      <c r="R53" t="s">
        <v>216</v>
      </c>
      <c r="S53" t="s">
        <v>216</v>
      </c>
      <c r="T53" t="s">
        <v>216</v>
      </c>
      <c r="U53" t="s">
        <v>217</v>
      </c>
      <c r="V53">
        <f t="shared" si="0"/>
        <v>29</v>
      </c>
      <c r="W53">
        <f t="shared" si="1"/>
        <v>166</v>
      </c>
      <c r="X53">
        <f t="shared" si="2"/>
        <v>4.1428571428571432</v>
      </c>
      <c r="Y53">
        <f t="shared" si="3"/>
        <v>23.714285714285715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9</v>
      </c>
      <c r="AI53" s="1">
        <v>4</v>
      </c>
      <c r="AJ53" s="1">
        <v>0</v>
      </c>
      <c r="AK53" s="1">
        <v>0</v>
      </c>
      <c r="AL53" s="1">
        <v>0</v>
      </c>
      <c r="AM53" s="1">
        <v>50</v>
      </c>
      <c r="AN53" s="1">
        <v>0</v>
      </c>
      <c r="AO53" s="1">
        <v>2</v>
      </c>
      <c r="AP53" s="1">
        <v>9</v>
      </c>
      <c r="AQ53" s="1">
        <v>0</v>
      </c>
      <c r="AR53" s="1">
        <v>0</v>
      </c>
      <c r="AS53" s="1">
        <v>0</v>
      </c>
      <c r="AT53" s="1">
        <v>3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7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2</v>
      </c>
      <c r="BZ53" s="1">
        <v>9</v>
      </c>
      <c r="CA53" s="1">
        <v>0</v>
      </c>
      <c r="CB53" s="1">
        <v>1</v>
      </c>
      <c r="CC53" s="1">
        <v>0</v>
      </c>
      <c r="CD53" s="1">
        <v>36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5</v>
      </c>
      <c r="CN53" s="1">
        <v>0</v>
      </c>
      <c r="CO53" s="1">
        <v>0</v>
      </c>
      <c r="CP53" s="1">
        <v>0</v>
      </c>
      <c r="CQ53" s="1">
        <v>0</v>
      </c>
      <c r="CR53" s="1">
        <v>1</v>
      </c>
      <c r="CS53" s="1">
        <v>0</v>
      </c>
      <c r="CT53" s="1">
        <v>0</v>
      </c>
      <c r="CU53" s="1">
        <v>0</v>
      </c>
      <c r="CV53" s="1">
        <v>2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1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1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3</v>
      </c>
      <c r="EK53" s="1">
        <v>5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1</v>
      </c>
      <c r="ES53" s="1">
        <v>0</v>
      </c>
      <c r="ET53" s="1">
        <v>1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1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1</v>
      </c>
      <c r="FZ53" s="1">
        <v>0</v>
      </c>
      <c r="GA53" s="1">
        <v>0</v>
      </c>
      <c r="GB53" s="1">
        <v>1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3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0</v>
      </c>
      <c r="IH53">
        <v>4</v>
      </c>
    </row>
    <row r="54" spans="1:242" x14ac:dyDescent="0.25">
      <c r="A54">
        <v>15664</v>
      </c>
      <c r="B54">
        <v>21</v>
      </c>
      <c r="C54">
        <v>7</v>
      </c>
      <c r="D54" t="s">
        <v>218</v>
      </c>
      <c r="E54" t="s">
        <v>215</v>
      </c>
      <c r="F54">
        <v>5</v>
      </c>
      <c r="G54">
        <v>25.156749999999999</v>
      </c>
      <c r="H54">
        <v>6.2613333329999996</v>
      </c>
      <c r="I54">
        <v>13.420229170000001</v>
      </c>
      <c r="J54">
        <v>98.9</v>
      </c>
      <c r="K54">
        <v>27.4</v>
      </c>
      <c r="L54">
        <v>75.631448410000004</v>
      </c>
      <c r="M54">
        <v>10.97450869</v>
      </c>
      <c r="N54">
        <v>-3.02</v>
      </c>
      <c r="O54">
        <v>-0.248</v>
      </c>
      <c r="P54" t="s">
        <v>217</v>
      </c>
      <c r="Q54" t="s">
        <v>217</v>
      </c>
      <c r="R54" t="s">
        <v>217</v>
      </c>
      <c r="S54" t="s">
        <v>217</v>
      </c>
      <c r="T54" t="s">
        <v>217</v>
      </c>
      <c r="U54" t="s">
        <v>217</v>
      </c>
      <c r="V54">
        <f t="shared" si="0"/>
        <v>15</v>
      </c>
      <c r="W54">
        <f t="shared" si="1"/>
        <v>56</v>
      </c>
      <c r="X54">
        <f t="shared" si="2"/>
        <v>2.1428571428571428</v>
      </c>
      <c r="Y54">
        <f t="shared" si="3"/>
        <v>8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13</v>
      </c>
      <c r="AN54" s="1">
        <v>0</v>
      </c>
      <c r="AO54" s="1">
        <v>4</v>
      </c>
      <c r="AP54" s="1">
        <v>3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4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2</v>
      </c>
      <c r="BZ54" s="1">
        <v>5</v>
      </c>
      <c r="CA54" s="1">
        <v>0</v>
      </c>
      <c r="CB54" s="1">
        <v>0</v>
      </c>
      <c r="CC54" s="1">
        <v>0</v>
      </c>
      <c r="CD54" s="1">
        <v>6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5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1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1</v>
      </c>
      <c r="GB54" s="1">
        <v>2</v>
      </c>
      <c r="GC54" s="1">
        <v>0</v>
      </c>
      <c r="GD54" s="1">
        <v>0</v>
      </c>
      <c r="GE54" s="1">
        <v>0</v>
      </c>
      <c r="GF54" s="1">
        <v>1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1</v>
      </c>
      <c r="GQ54" s="1">
        <v>0</v>
      </c>
      <c r="GR54" s="1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7</v>
      </c>
      <c r="IE54">
        <v>0</v>
      </c>
      <c r="IF54">
        <v>0</v>
      </c>
      <c r="IG54">
        <v>0</v>
      </c>
      <c r="IH54">
        <v>0</v>
      </c>
    </row>
    <row r="55" spans="1:242" x14ac:dyDescent="0.25">
      <c r="A55">
        <v>15668</v>
      </c>
      <c r="B55">
        <v>21</v>
      </c>
      <c r="C55">
        <v>7</v>
      </c>
      <c r="D55" t="s">
        <v>219</v>
      </c>
      <c r="E55" t="s">
        <v>220</v>
      </c>
      <c r="F55">
        <v>5</v>
      </c>
      <c r="G55">
        <v>28.75416667</v>
      </c>
      <c r="H55">
        <v>8.0532500000000002</v>
      </c>
      <c r="I55">
        <v>17.743489579999999</v>
      </c>
      <c r="J55">
        <v>97.766666670000006</v>
      </c>
      <c r="K55">
        <v>12.93333333</v>
      </c>
      <c r="L55">
        <v>59.2702381</v>
      </c>
      <c r="M55">
        <v>11.947931710000001</v>
      </c>
      <c r="N55">
        <v>-0.99199999999999999</v>
      </c>
      <c r="O55">
        <v>-1.1000000000000001</v>
      </c>
      <c r="P55" t="s">
        <v>217</v>
      </c>
      <c r="Q55" t="s">
        <v>217</v>
      </c>
      <c r="R55" t="s">
        <v>217</v>
      </c>
      <c r="S55" t="s">
        <v>217</v>
      </c>
      <c r="T55" t="s">
        <v>217</v>
      </c>
      <c r="U55" t="s">
        <v>217</v>
      </c>
      <c r="V55">
        <f t="shared" si="0"/>
        <v>18</v>
      </c>
      <c r="W55">
        <f t="shared" si="1"/>
        <v>245</v>
      </c>
      <c r="X55">
        <f t="shared" si="2"/>
        <v>2.5714285714285716</v>
      </c>
      <c r="Y55">
        <f t="shared" si="3"/>
        <v>35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190</v>
      </c>
      <c r="AN55" s="1">
        <v>0</v>
      </c>
      <c r="AO55" s="1">
        <v>2</v>
      </c>
      <c r="AP55" s="1">
        <v>10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3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1</v>
      </c>
      <c r="BZ55" s="1">
        <v>4</v>
      </c>
      <c r="CA55" s="1">
        <v>0</v>
      </c>
      <c r="CB55" s="1">
        <v>1</v>
      </c>
      <c r="CC55" s="1">
        <v>0</v>
      </c>
      <c r="CD55" s="1">
        <v>7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1</v>
      </c>
      <c r="CL55" s="1">
        <v>0</v>
      </c>
      <c r="CM55" s="1">
        <v>0</v>
      </c>
      <c r="CN55" s="1">
        <v>2</v>
      </c>
      <c r="CO55" s="1">
        <v>0</v>
      </c>
      <c r="CP55" s="1">
        <v>0</v>
      </c>
      <c r="CQ55" s="1">
        <v>0</v>
      </c>
      <c r="CR55" s="1">
        <v>0</v>
      </c>
      <c r="CS55" s="1">
        <v>2</v>
      </c>
      <c r="CT55" s="1">
        <v>0</v>
      </c>
      <c r="CU55" s="1">
        <v>0</v>
      </c>
      <c r="CV55" s="1">
        <v>14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1</v>
      </c>
      <c r="GN55" s="1">
        <v>0</v>
      </c>
      <c r="GO55" s="1">
        <v>0</v>
      </c>
      <c r="GP55" s="1">
        <v>1</v>
      </c>
      <c r="GQ55" s="1">
        <v>0</v>
      </c>
      <c r="GR55" s="1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3</v>
      </c>
      <c r="IG55">
        <v>0</v>
      </c>
      <c r="IH55">
        <v>1</v>
      </c>
    </row>
    <row r="56" spans="1:242" x14ac:dyDescent="0.25">
      <c r="A56">
        <v>15670</v>
      </c>
      <c r="B56">
        <v>17</v>
      </c>
      <c r="C56">
        <v>7</v>
      </c>
      <c r="D56" t="s">
        <v>218</v>
      </c>
      <c r="E56" t="s">
        <v>215</v>
      </c>
      <c r="F56">
        <v>6</v>
      </c>
      <c r="G56">
        <v>24.387666670000002</v>
      </c>
      <c r="H56">
        <v>6.5914166669999998</v>
      </c>
      <c r="I56">
        <v>12.93567262</v>
      </c>
      <c r="J56">
        <v>97.566666670000004</v>
      </c>
      <c r="K56">
        <v>32.725000000000001</v>
      </c>
      <c r="L56">
        <v>76.5171627</v>
      </c>
      <c r="M56">
        <v>10.9749739</v>
      </c>
      <c r="N56">
        <v>-3.09</v>
      </c>
      <c r="O56" s="8">
        <v>-1.23E-3</v>
      </c>
      <c r="P56" t="s">
        <v>216</v>
      </c>
      <c r="Q56" t="s">
        <v>217</v>
      </c>
      <c r="R56" t="s">
        <v>217</v>
      </c>
      <c r="S56" t="s">
        <v>217</v>
      </c>
      <c r="T56" t="s">
        <v>217</v>
      </c>
      <c r="U56" t="s">
        <v>216</v>
      </c>
      <c r="V56">
        <f t="shared" si="0"/>
        <v>12</v>
      </c>
      <c r="W56">
        <f t="shared" si="1"/>
        <v>67</v>
      </c>
      <c r="X56">
        <f t="shared" si="2"/>
        <v>1.7142857142857142</v>
      </c>
      <c r="Y56">
        <f t="shared" si="3"/>
        <v>9.5714285714285712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42</v>
      </c>
      <c r="AN56" s="1">
        <v>0</v>
      </c>
      <c r="AO56" s="1">
        <v>5</v>
      </c>
      <c r="AP56" s="1">
        <v>0</v>
      </c>
      <c r="AQ56" s="1">
        <v>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1</v>
      </c>
      <c r="BZ56" s="1">
        <v>1</v>
      </c>
      <c r="CA56" s="1">
        <v>0</v>
      </c>
      <c r="CB56" s="1">
        <v>1</v>
      </c>
      <c r="CC56" s="1">
        <v>0</v>
      </c>
      <c r="CD56" s="1">
        <v>8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4</v>
      </c>
    </row>
    <row r="57" spans="1:242" x14ac:dyDescent="0.25">
      <c r="A57">
        <v>15674</v>
      </c>
      <c r="B57">
        <v>17</v>
      </c>
      <c r="C57">
        <v>7</v>
      </c>
      <c r="D57" t="s">
        <v>219</v>
      </c>
      <c r="E57" t="s">
        <v>220</v>
      </c>
      <c r="F57">
        <v>6</v>
      </c>
      <c r="G57">
        <v>31.685749999999999</v>
      </c>
      <c r="H57">
        <v>8.1718333330000004</v>
      </c>
      <c r="I57">
        <v>17.69393204</v>
      </c>
      <c r="J57">
        <v>97.291666669999998</v>
      </c>
      <c r="K57">
        <v>13.074999999999999</v>
      </c>
      <c r="L57">
        <v>55.518650790000002</v>
      </c>
      <c r="M57">
        <v>11.94799119</v>
      </c>
      <c r="N57">
        <v>-0.54900000000000004</v>
      </c>
      <c r="O57">
        <v>-1.32</v>
      </c>
      <c r="P57" t="s">
        <v>216</v>
      </c>
      <c r="Q57" t="s">
        <v>217</v>
      </c>
      <c r="R57" t="s">
        <v>217</v>
      </c>
      <c r="S57" t="s">
        <v>217</v>
      </c>
      <c r="T57" t="s">
        <v>217</v>
      </c>
      <c r="U57" t="s">
        <v>216</v>
      </c>
      <c r="V57">
        <f t="shared" si="0"/>
        <v>27</v>
      </c>
      <c r="W57">
        <f t="shared" si="1"/>
        <v>182</v>
      </c>
      <c r="X57">
        <f t="shared" si="2"/>
        <v>3.8571428571428572</v>
      </c>
      <c r="Y57">
        <f t="shared" si="3"/>
        <v>26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2</v>
      </c>
      <c r="AI57" s="1">
        <v>0</v>
      </c>
      <c r="AJ57" s="1">
        <v>0</v>
      </c>
      <c r="AK57" s="1">
        <v>0</v>
      </c>
      <c r="AL57" s="1">
        <v>0</v>
      </c>
      <c r="AM57" s="1">
        <v>52</v>
      </c>
      <c r="AN57" s="1">
        <v>0</v>
      </c>
      <c r="AO57" s="1">
        <v>4</v>
      </c>
      <c r="AP57" s="1">
        <v>11</v>
      </c>
      <c r="AQ57" s="1">
        <v>2</v>
      </c>
      <c r="AR57" s="1">
        <v>0</v>
      </c>
      <c r="AS57" s="1">
        <v>0</v>
      </c>
      <c r="AT57" s="1">
        <v>1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3</v>
      </c>
      <c r="BM57" s="1">
        <v>0</v>
      </c>
      <c r="BN57" s="1">
        <v>0</v>
      </c>
      <c r="BO57" s="1">
        <v>1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6</v>
      </c>
      <c r="BZ57" s="1">
        <v>5</v>
      </c>
      <c r="CA57" s="1">
        <v>1</v>
      </c>
      <c r="CB57" s="1">
        <v>0</v>
      </c>
      <c r="CC57" s="1">
        <v>0</v>
      </c>
      <c r="CD57" s="1">
        <v>66</v>
      </c>
      <c r="CE57" s="1">
        <v>0</v>
      </c>
      <c r="CF57" s="1">
        <v>0</v>
      </c>
      <c r="CG57" s="1">
        <v>1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1</v>
      </c>
      <c r="CN57" s="1">
        <v>0</v>
      </c>
      <c r="CO57" s="1">
        <v>0</v>
      </c>
      <c r="CP57" s="1">
        <v>0</v>
      </c>
      <c r="CQ57" s="1">
        <v>0</v>
      </c>
      <c r="CR57" s="1">
        <v>1</v>
      </c>
      <c r="CS57" s="1">
        <v>0</v>
      </c>
      <c r="CT57" s="1">
        <v>0</v>
      </c>
      <c r="CU57" s="1">
        <v>0</v>
      </c>
      <c r="CV57" s="1">
        <v>3</v>
      </c>
      <c r="CW57" s="1">
        <v>7</v>
      </c>
      <c r="CX57" s="1">
        <v>0</v>
      </c>
      <c r="CY57" s="1">
        <v>0</v>
      </c>
      <c r="CZ57" s="1">
        <v>0</v>
      </c>
      <c r="DA57" s="1">
        <v>0</v>
      </c>
      <c r="DB57" s="1">
        <v>2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1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1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1</v>
      </c>
      <c r="GB57" s="1">
        <v>0</v>
      </c>
      <c r="GC57" s="1">
        <v>0</v>
      </c>
      <c r="GD57" s="1">
        <v>0</v>
      </c>
      <c r="GE57" s="1">
        <v>1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1</v>
      </c>
      <c r="GQ57" s="1">
        <v>0</v>
      </c>
      <c r="GR57" s="1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1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5</v>
      </c>
    </row>
    <row r="58" spans="1:242" x14ac:dyDescent="0.25">
      <c r="A58">
        <v>15676</v>
      </c>
      <c r="B58">
        <v>13</v>
      </c>
      <c r="C58">
        <v>7</v>
      </c>
      <c r="D58" t="s">
        <v>218</v>
      </c>
      <c r="E58" t="s">
        <v>215</v>
      </c>
      <c r="F58">
        <v>1</v>
      </c>
      <c r="G58">
        <v>22.670666669999999</v>
      </c>
      <c r="H58">
        <v>6.0902500000000002</v>
      </c>
      <c r="I58">
        <v>12.11680456</v>
      </c>
      <c r="J58">
        <v>98.433333329999996</v>
      </c>
      <c r="K58">
        <v>36.583333330000002</v>
      </c>
      <c r="L58">
        <v>80.81210317</v>
      </c>
      <c r="M58">
        <v>10.97538327</v>
      </c>
      <c r="N58">
        <v>-3.67</v>
      </c>
      <c r="O58">
        <v>0.33300000000000002</v>
      </c>
      <c r="P58" t="s">
        <v>217</v>
      </c>
      <c r="Q58" t="s">
        <v>217</v>
      </c>
      <c r="R58" t="s">
        <v>217</v>
      </c>
      <c r="S58" t="s">
        <v>216</v>
      </c>
      <c r="T58" t="s">
        <v>216</v>
      </c>
      <c r="U58" t="s">
        <v>217</v>
      </c>
      <c r="V58">
        <f t="shared" si="0"/>
        <v>21</v>
      </c>
      <c r="W58">
        <f t="shared" si="1"/>
        <v>104</v>
      </c>
      <c r="X58">
        <f t="shared" si="2"/>
        <v>3</v>
      </c>
      <c r="Y58">
        <f t="shared" si="3"/>
        <v>14.857142857142858</v>
      </c>
      <c r="Z58" s="1">
        <v>0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7</v>
      </c>
      <c r="AN58" s="1">
        <v>0</v>
      </c>
      <c r="AO58" s="1">
        <v>9</v>
      </c>
      <c r="AP58" s="1">
        <v>0</v>
      </c>
      <c r="AQ58" s="1">
        <v>1</v>
      </c>
      <c r="AR58" s="1">
        <v>0</v>
      </c>
      <c r="AS58" s="1">
        <v>3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1</v>
      </c>
      <c r="BH58" s="1">
        <v>0</v>
      </c>
      <c r="BI58" s="1">
        <v>0</v>
      </c>
      <c r="BJ58" s="1">
        <v>0</v>
      </c>
      <c r="BK58" s="1">
        <v>0</v>
      </c>
      <c r="BL58" s="1">
        <v>4</v>
      </c>
      <c r="BM58" s="1">
        <v>0</v>
      </c>
      <c r="BN58" s="1">
        <v>0</v>
      </c>
      <c r="BO58" s="1">
        <v>1</v>
      </c>
      <c r="BP58" s="1">
        <v>0</v>
      </c>
      <c r="BQ58" s="1">
        <v>1</v>
      </c>
      <c r="BR58" s="1">
        <v>0</v>
      </c>
      <c r="BS58" s="1">
        <v>0</v>
      </c>
      <c r="BT58" s="1">
        <v>0</v>
      </c>
      <c r="BU58" s="1">
        <v>0</v>
      </c>
      <c r="BV58" s="1">
        <v>40</v>
      </c>
      <c r="BW58" s="1">
        <v>0</v>
      </c>
      <c r="BX58" s="1">
        <v>0</v>
      </c>
      <c r="BY58" s="1">
        <v>9</v>
      </c>
      <c r="BZ58" s="1">
        <v>1</v>
      </c>
      <c r="CA58" s="1">
        <v>0</v>
      </c>
      <c r="CB58" s="1">
        <v>13</v>
      </c>
      <c r="CC58" s="1">
        <v>0</v>
      </c>
      <c r="CD58" s="1">
        <v>2</v>
      </c>
      <c r="CE58" s="1">
        <v>0</v>
      </c>
      <c r="CF58" s="1">
        <v>0</v>
      </c>
      <c r="CG58" s="1">
        <v>0</v>
      </c>
      <c r="CH58" s="1">
        <v>0</v>
      </c>
      <c r="CI58" s="1">
        <v>4</v>
      </c>
      <c r="CJ58" s="1">
        <v>1</v>
      </c>
      <c r="CK58" s="1">
        <v>0</v>
      </c>
      <c r="CL58" s="1">
        <v>0</v>
      </c>
      <c r="CM58" s="1">
        <v>1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2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1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</row>
    <row r="59" spans="1:242" x14ac:dyDescent="0.25">
      <c r="A59">
        <v>15680</v>
      </c>
      <c r="B59">
        <v>13</v>
      </c>
      <c r="C59">
        <v>7</v>
      </c>
      <c r="D59" t="s">
        <v>219</v>
      </c>
      <c r="E59" t="s">
        <v>220</v>
      </c>
      <c r="F59">
        <v>1</v>
      </c>
      <c r="G59">
        <v>27.224666670000001</v>
      </c>
      <c r="H59">
        <v>8.8847500000000004</v>
      </c>
      <c r="I59">
        <v>16.918902280000001</v>
      </c>
      <c r="J59">
        <v>98.966666669999995</v>
      </c>
      <c r="K59">
        <v>13.59166667</v>
      </c>
      <c r="L59">
        <v>57.370535709999999</v>
      </c>
      <c r="M59">
        <v>11.94804353</v>
      </c>
      <c r="N59">
        <v>-1.26</v>
      </c>
      <c r="O59">
        <v>-1.03</v>
      </c>
      <c r="P59" t="s">
        <v>217</v>
      </c>
      <c r="Q59" t="s">
        <v>217</v>
      </c>
      <c r="R59" t="s">
        <v>217</v>
      </c>
      <c r="S59" t="s">
        <v>216</v>
      </c>
      <c r="T59" t="s">
        <v>216</v>
      </c>
      <c r="U59" t="s">
        <v>217</v>
      </c>
      <c r="V59">
        <f t="shared" si="0"/>
        <v>41</v>
      </c>
      <c r="W59">
        <f t="shared" si="1"/>
        <v>388</v>
      </c>
      <c r="X59">
        <f t="shared" si="2"/>
        <v>5.8571428571428568</v>
      </c>
      <c r="Y59">
        <f t="shared" si="3"/>
        <v>55.428571428571431</v>
      </c>
      <c r="Z59" s="1">
        <v>0</v>
      </c>
      <c r="AA59" s="1">
        <v>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54</v>
      </c>
      <c r="AN59" s="1">
        <v>5</v>
      </c>
      <c r="AO59" s="1">
        <v>6</v>
      </c>
      <c r="AP59" s="1">
        <v>3</v>
      </c>
      <c r="AQ59" s="1">
        <v>13</v>
      </c>
      <c r="AR59" s="1">
        <v>0</v>
      </c>
      <c r="AS59" s="1">
        <v>0</v>
      </c>
      <c r="AT59" s="1">
        <v>2</v>
      </c>
      <c r="AU59" s="1">
        <v>0</v>
      </c>
      <c r="AV59" s="1">
        <v>0</v>
      </c>
      <c r="AW59" s="1">
        <v>0</v>
      </c>
      <c r="AX59" s="1">
        <v>0</v>
      </c>
      <c r="AY59" s="1">
        <v>6</v>
      </c>
      <c r="AZ59" s="1">
        <v>0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2</v>
      </c>
      <c r="BH59" s="1">
        <v>0</v>
      </c>
      <c r="BI59" s="1">
        <v>0</v>
      </c>
      <c r="BJ59" s="1">
        <v>2</v>
      </c>
      <c r="BK59" s="1">
        <v>0</v>
      </c>
      <c r="BL59" s="1">
        <v>9</v>
      </c>
      <c r="BM59" s="1">
        <v>0</v>
      </c>
      <c r="BN59" s="1">
        <v>1</v>
      </c>
      <c r="BO59" s="1">
        <v>10</v>
      </c>
      <c r="BP59" s="1">
        <v>0</v>
      </c>
      <c r="BQ59" s="1">
        <v>1</v>
      </c>
      <c r="BR59" s="1">
        <v>2</v>
      </c>
      <c r="BS59" s="1">
        <v>0</v>
      </c>
      <c r="BT59" s="1">
        <v>3</v>
      </c>
      <c r="BU59" s="1">
        <v>0</v>
      </c>
      <c r="BV59" s="1">
        <v>18</v>
      </c>
      <c r="BW59" s="1">
        <v>0</v>
      </c>
      <c r="BX59" s="1">
        <v>0</v>
      </c>
      <c r="BY59" s="1">
        <v>25</v>
      </c>
      <c r="BZ59" s="1">
        <v>5</v>
      </c>
      <c r="CA59" s="1">
        <v>2</v>
      </c>
      <c r="CB59" s="1">
        <v>119</v>
      </c>
      <c r="CC59" s="1">
        <v>10</v>
      </c>
      <c r="CD59" s="1">
        <v>36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1</v>
      </c>
      <c r="CL59" s="1">
        <v>1</v>
      </c>
      <c r="CM59" s="1">
        <v>1</v>
      </c>
      <c r="CN59" s="1">
        <v>3</v>
      </c>
      <c r="CO59" s="1">
        <v>0</v>
      </c>
      <c r="CP59" s="1">
        <v>1</v>
      </c>
      <c r="CQ59" s="1">
        <v>1</v>
      </c>
      <c r="CR59" s="1">
        <v>0</v>
      </c>
      <c r="CS59" s="1">
        <v>0</v>
      </c>
      <c r="CT59" s="1">
        <v>0</v>
      </c>
      <c r="CU59" s="1">
        <v>0</v>
      </c>
      <c r="CV59" s="1">
        <v>23</v>
      </c>
      <c r="CW59" s="1">
        <v>9</v>
      </c>
      <c r="CX59" s="1">
        <v>0</v>
      </c>
      <c r="CY59" s="1">
        <v>0</v>
      </c>
      <c r="CZ59" s="1">
        <v>1</v>
      </c>
      <c r="DA59" s="1">
        <v>1</v>
      </c>
      <c r="DB59" s="1">
        <v>0</v>
      </c>
      <c r="DC59" s="1">
        <v>0</v>
      </c>
      <c r="DD59" s="1">
        <v>0</v>
      </c>
      <c r="DE59" s="1">
        <v>1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1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1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1</v>
      </c>
      <c r="GC59" s="1">
        <v>0</v>
      </c>
      <c r="GD59" s="1">
        <v>1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3</v>
      </c>
    </row>
    <row r="60" spans="1:242" x14ac:dyDescent="0.25">
      <c r="A60">
        <v>15682</v>
      </c>
      <c r="B60">
        <v>15</v>
      </c>
      <c r="C60">
        <v>7</v>
      </c>
      <c r="D60" t="s">
        <v>218</v>
      </c>
      <c r="E60" t="s">
        <v>215</v>
      </c>
      <c r="F60">
        <v>9</v>
      </c>
      <c r="G60">
        <v>23.09041667</v>
      </c>
      <c r="H60">
        <v>7.3616666669999997</v>
      </c>
      <c r="I60">
        <v>14.29708383</v>
      </c>
      <c r="J60">
        <v>97.941666670000004</v>
      </c>
      <c r="K60">
        <v>51.016666669999999</v>
      </c>
      <c r="L60">
        <v>81.072321430000002</v>
      </c>
      <c r="M60">
        <v>10.986897559999999</v>
      </c>
      <c r="N60">
        <v>-3.38</v>
      </c>
      <c r="O60">
        <v>1.29</v>
      </c>
      <c r="P60" t="s">
        <v>216</v>
      </c>
      <c r="Q60" t="s">
        <v>217</v>
      </c>
      <c r="R60" t="s">
        <v>217</v>
      </c>
      <c r="S60" t="s">
        <v>217</v>
      </c>
      <c r="T60" t="s">
        <v>217</v>
      </c>
      <c r="U60" t="s">
        <v>216</v>
      </c>
      <c r="V60">
        <f t="shared" si="0"/>
        <v>15</v>
      </c>
      <c r="W60">
        <f t="shared" si="1"/>
        <v>128</v>
      </c>
      <c r="X60">
        <f t="shared" si="2"/>
        <v>2.1428571428571428</v>
      </c>
      <c r="Y60">
        <f t="shared" si="3"/>
        <v>18.285714285714285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62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8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2</v>
      </c>
      <c r="CA60" s="1">
        <v>0</v>
      </c>
      <c r="CB60" s="1">
        <v>2</v>
      </c>
      <c r="CC60" s="1">
        <v>0</v>
      </c>
      <c r="CD60" s="1">
        <v>31</v>
      </c>
      <c r="CE60" s="1">
        <v>0</v>
      </c>
      <c r="CF60" s="1">
        <v>0</v>
      </c>
      <c r="CG60" s="1">
        <v>0</v>
      </c>
      <c r="CH60" s="1">
        <v>0</v>
      </c>
      <c r="CI60" s="1">
        <v>1</v>
      </c>
      <c r="CJ60" s="1">
        <v>5</v>
      </c>
      <c r="CK60" s="1">
        <v>0</v>
      </c>
      <c r="CL60" s="1">
        <v>1</v>
      </c>
      <c r="CM60" s="1">
        <v>0</v>
      </c>
      <c r="CN60" s="1">
        <v>2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4</v>
      </c>
      <c r="CW60" s="1">
        <v>4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2</v>
      </c>
      <c r="GC60" s="1">
        <v>0</v>
      </c>
      <c r="GD60" s="1">
        <v>0</v>
      </c>
      <c r="GE60" s="1">
        <v>1</v>
      </c>
      <c r="GF60" s="1">
        <v>0</v>
      </c>
      <c r="GG60" s="1">
        <v>2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</row>
    <row r="61" spans="1:242" x14ac:dyDescent="0.25">
      <c r="A61">
        <v>15686</v>
      </c>
      <c r="B61">
        <v>15</v>
      </c>
      <c r="C61">
        <v>7</v>
      </c>
      <c r="D61" t="s">
        <v>219</v>
      </c>
      <c r="E61" t="s">
        <v>220</v>
      </c>
      <c r="F61">
        <v>9</v>
      </c>
      <c r="G61">
        <v>31.278833330000001</v>
      </c>
      <c r="H61">
        <v>9.0355000000000008</v>
      </c>
      <c r="I61">
        <v>17.81969196</v>
      </c>
      <c r="J61">
        <v>96.466666669999995</v>
      </c>
      <c r="K61">
        <v>14.116666670000001</v>
      </c>
      <c r="L61">
        <v>67.299851189999998</v>
      </c>
      <c r="M61">
        <v>11.94951732</v>
      </c>
      <c r="N61">
        <v>-0.71899999999999997</v>
      </c>
      <c r="O61">
        <v>-0.70199999999999996</v>
      </c>
      <c r="P61" t="s">
        <v>216</v>
      </c>
      <c r="Q61" t="s">
        <v>217</v>
      </c>
      <c r="R61" t="s">
        <v>217</v>
      </c>
      <c r="S61" t="s">
        <v>217</v>
      </c>
      <c r="T61" t="s">
        <v>217</v>
      </c>
      <c r="U61" t="s">
        <v>216</v>
      </c>
      <c r="V61">
        <f t="shared" si="0"/>
        <v>12</v>
      </c>
      <c r="W61">
        <f t="shared" si="1"/>
        <v>180</v>
      </c>
      <c r="X61">
        <f t="shared" si="2"/>
        <v>1.7142857142857142</v>
      </c>
      <c r="Y61">
        <f t="shared" si="3"/>
        <v>25.714285714285715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68</v>
      </c>
      <c r="AN61" s="1">
        <v>1</v>
      </c>
      <c r="AO61" s="1">
        <v>0</v>
      </c>
      <c r="AP61" s="1">
        <v>4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8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73</v>
      </c>
      <c r="CE61" s="1">
        <v>0</v>
      </c>
      <c r="CF61" s="1">
        <v>0</v>
      </c>
      <c r="CG61" s="1">
        <v>0</v>
      </c>
      <c r="CH61" s="1">
        <v>0</v>
      </c>
      <c r="CI61" s="1">
        <v>1</v>
      </c>
      <c r="CJ61" s="1">
        <v>0</v>
      </c>
      <c r="CK61" s="1">
        <v>1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13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1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8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1</v>
      </c>
      <c r="GC61" s="1">
        <v>0</v>
      </c>
      <c r="GD61" s="1">
        <v>0</v>
      </c>
      <c r="GE61" s="1">
        <v>1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</row>
    <row r="62" spans="1:242" x14ac:dyDescent="0.25">
      <c r="A62">
        <v>15689</v>
      </c>
      <c r="B62">
        <v>25</v>
      </c>
      <c r="C62">
        <v>7</v>
      </c>
      <c r="D62" t="s">
        <v>218</v>
      </c>
      <c r="E62" t="s">
        <v>215</v>
      </c>
      <c r="F62">
        <v>8</v>
      </c>
      <c r="G62">
        <v>23.371416669999999</v>
      </c>
      <c r="H62">
        <v>9.1425833329999993</v>
      </c>
      <c r="I62">
        <v>14.24709623</v>
      </c>
      <c r="J62">
        <v>96.65</v>
      </c>
      <c r="K62">
        <v>38.991666670000001</v>
      </c>
      <c r="L62">
        <v>76.833829370000004</v>
      </c>
      <c r="M62">
        <v>10.979731259999999</v>
      </c>
      <c r="N62">
        <v>-2.78</v>
      </c>
      <c r="O62">
        <v>0.63800000000000001</v>
      </c>
      <c r="P62" t="s">
        <v>217</v>
      </c>
      <c r="Q62" t="s">
        <v>216</v>
      </c>
      <c r="R62" t="s">
        <v>216</v>
      </c>
      <c r="S62" t="s">
        <v>217</v>
      </c>
      <c r="T62" t="s">
        <v>217</v>
      </c>
      <c r="U62" t="s">
        <v>216</v>
      </c>
      <c r="V62">
        <f t="shared" si="0"/>
        <v>16</v>
      </c>
      <c r="W62">
        <f t="shared" si="1"/>
        <v>36</v>
      </c>
      <c r="X62">
        <f t="shared" si="2"/>
        <v>2.2857142857142856</v>
      </c>
      <c r="Y62">
        <f t="shared" si="3"/>
        <v>5.1428571428571432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4</v>
      </c>
      <c r="AN62" s="1">
        <v>0</v>
      </c>
      <c r="AO62" s="1">
        <v>1</v>
      </c>
      <c r="AP62" s="1">
        <v>0</v>
      </c>
      <c r="AQ62" s="1">
        <v>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1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2</v>
      </c>
      <c r="BZ62" s="1">
        <v>0</v>
      </c>
      <c r="CA62" s="1">
        <v>4</v>
      </c>
      <c r="CB62" s="1">
        <v>0</v>
      </c>
      <c r="CC62" s="1">
        <v>0</v>
      </c>
      <c r="CD62" s="1">
        <v>8</v>
      </c>
      <c r="CE62" s="1">
        <v>0</v>
      </c>
      <c r="CF62" s="1">
        <v>0</v>
      </c>
      <c r="CG62" s="1">
        <v>0</v>
      </c>
      <c r="CH62" s="1">
        <v>0</v>
      </c>
      <c r="CI62" s="1">
        <v>1</v>
      </c>
      <c r="CJ62" s="1">
        <v>0</v>
      </c>
      <c r="CK62" s="1">
        <v>0</v>
      </c>
      <c r="CL62" s="1">
        <v>2</v>
      </c>
      <c r="CM62" s="1">
        <v>1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1</v>
      </c>
      <c r="CU62" s="1">
        <v>0</v>
      </c>
      <c r="CV62" s="1">
        <v>2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4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1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</row>
    <row r="63" spans="1:242" x14ac:dyDescent="0.25">
      <c r="A63">
        <v>15692</v>
      </c>
      <c r="B63">
        <v>25</v>
      </c>
      <c r="C63">
        <v>7</v>
      </c>
      <c r="D63" t="s">
        <v>219</v>
      </c>
      <c r="E63" t="s">
        <v>220</v>
      </c>
      <c r="F63">
        <v>8</v>
      </c>
      <c r="G63">
        <v>21.473166670000001</v>
      </c>
      <c r="H63">
        <v>10.365166670000001</v>
      </c>
      <c r="I63">
        <v>14.98633085</v>
      </c>
      <c r="J63">
        <v>97.125</v>
      </c>
      <c r="K63">
        <v>46.75</v>
      </c>
      <c r="L63">
        <v>83.532440480000005</v>
      </c>
      <c r="M63">
        <v>11.70008896</v>
      </c>
      <c r="N63">
        <v>-2.95</v>
      </c>
      <c r="O63">
        <v>1.67</v>
      </c>
      <c r="P63" t="s">
        <v>217</v>
      </c>
      <c r="Q63" t="s">
        <v>216</v>
      </c>
      <c r="R63" t="s">
        <v>216</v>
      </c>
      <c r="S63" t="s">
        <v>217</v>
      </c>
      <c r="T63" t="s">
        <v>217</v>
      </c>
      <c r="U63" t="s">
        <v>216</v>
      </c>
      <c r="V63">
        <f t="shared" si="0"/>
        <v>21</v>
      </c>
      <c r="W63">
        <f t="shared" si="1"/>
        <v>131</v>
      </c>
      <c r="X63">
        <f t="shared" si="2"/>
        <v>3</v>
      </c>
      <c r="Y63">
        <f t="shared" si="3"/>
        <v>18.714285714285715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15</v>
      </c>
      <c r="AG63" s="1">
        <v>0</v>
      </c>
      <c r="AH63" s="1">
        <v>4</v>
      </c>
      <c r="AI63" s="1">
        <v>2</v>
      </c>
      <c r="AJ63" s="1">
        <v>0</v>
      </c>
      <c r="AK63" s="1">
        <v>0</v>
      </c>
      <c r="AL63" s="1">
        <v>0</v>
      </c>
      <c r="AM63" s="1">
        <v>6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3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4</v>
      </c>
      <c r="BB63" s="1">
        <v>0</v>
      </c>
      <c r="BC63" s="1">
        <v>0</v>
      </c>
      <c r="BD63" s="1">
        <v>0</v>
      </c>
      <c r="BE63" s="1">
        <v>6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3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5</v>
      </c>
      <c r="CA63" s="1">
        <v>9</v>
      </c>
      <c r="CB63" s="1">
        <v>1</v>
      </c>
      <c r="CC63" s="1">
        <v>0</v>
      </c>
      <c r="CD63" s="1">
        <v>48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1</v>
      </c>
      <c r="CM63" s="1">
        <v>2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2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15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1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1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</row>
    <row r="64" spans="1:242" x14ac:dyDescent="0.25">
      <c r="A64">
        <v>15696</v>
      </c>
      <c r="B64">
        <v>9</v>
      </c>
      <c r="C64">
        <v>7</v>
      </c>
      <c r="D64" t="s">
        <v>218</v>
      </c>
      <c r="E64" t="s">
        <v>215</v>
      </c>
      <c r="F64">
        <v>5</v>
      </c>
      <c r="G64">
        <v>23.59183333</v>
      </c>
      <c r="H64">
        <v>6.8934166670000003</v>
      </c>
      <c r="I64">
        <v>13.204470730000001</v>
      </c>
      <c r="J64">
        <v>97.733333329999994</v>
      </c>
      <c r="K64">
        <v>35.950000000000003</v>
      </c>
      <c r="L64">
        <v>79.570535710000001</v>
      </c>
      <c r="M64">
        <v>10.977348409999999</v>
      </c>
      <c r="N64">
        <v>-3.24</v>
      </c>
      <c r="O64">
        <v>0.35499999999999998</v>
      </c>
      <c r="P64" t="s">
        <v>217</v>
      </c>
      <c r="Q64" t="s">
        <v>217</v>
      </c>
      <c r="R64" t="s">
        <v>216</v>
      </c>
      <c r="S64" t="s">
        <v>217</v>
      </c>
      <c r="T64" t="s">
        <v>217</v>
      </c>
      <c r="U64" t="s">
        <v>216</v>
      </c>
      <c r="V64">
        <f t="shared" si="0"/>
        <v>6</v>
      </c>
      <c r="W64">
        <f t="shared" si="1"/>
        <v>8</v>
      </c>
      <c r="X64">
        <f t="shared" si="2"/>
        <v>0.8571428571428571</v>
      </c>
      <c r="Y64">
        <f t="shared" si="3"/>
        <v>1.1428571428571428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2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1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2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1</v>
      </c>
      <c r="FZ64" s="1">
        <v>0</v>
      </c>
      <c r="GA64" s="1">
        <v>0</v>
      </c>
      <c r="GB64" s="1">
        <v>1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</row>
    <row r="65" spans="1:242" x14ac:dyDescent="0.25">
      <c r="A65">
        <v>15700</v>
      </c>
      <c r="B65">
        <v>9</v>
      </c>
      <c r="C65">
        <v>7</v>
      </c>
      <c r="D65" t="s">
        <v>219</v>
      </c>
      <c r="E65" t="s">
        <v>220</v>
      </c>
      <c r="F65">
        <v>5</v>
      </c>
      <c r="G65">
        <v>29.691833330000001</v>
      </c>
      <c r="H65">
        <v>9.4104166669999998</v>
      </c>
      <c r="I65">
        <v>17.629077379999998</v>
      </c>
      <c r="J65">
        <v>98</v>
      </c>
      <c r="K65">
        <v>15.266666669999999</v>
      </c>
      <c r="L65">
        <v>61.091319439999999</v>
      </c>
      <c r="M65">
        <v>11.948294860000001</v>
      </c>
      <c r="N65">
        <v>-0.88500000000000001</v>
      </c>
      <c r="O65">
        <v>-0.78300000000000003</v>
      </c>
      <c r="P65" t="s">
        <v>217</v>
      </c>
      <c r="Q65" t="s">
        <v>217</v>
      </c>
      <c r="R65" t="s">
        <v>216</v>
      </c>
      <c r="S65" t="s">
        <v>217</v>
      </c>
      <c r="T65" t="s">
        <v>217</v>
      </c>
      <c r="U65" t="s">
        <v>216</v>
      </c>
      <c r="V65">
        <f t="shared" si="0"/>
        <v>21</v>
      </c>
      <c r="W65">
        <f t="shared" si="1"/>
        <v>181</v>
      </c>
      <c r="X65">
        <f t="shared" si="2"/>
        <v>3</v>
      </c>
      <c r="Y65">
        <f t="shared" si="3"/>
        <v>25.857142857142858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4</v>
      </c>
      <c r="AL65" s="1">
        <v>0</v>
      </c>
      <c r="AM65" s="1">
        <v>13</v>
      </c>
      <c r="AN65" s="1">
        <v>0</v>
      </c>
      <c r="AO65" s="1">
        <v>0</v>
      </c>
      <c r="AP65" s="1">
        <v>5</v>
      </c>
      <c r="AQ65" s="1">
        <v>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2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2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8</v>
      </c>
      <c r="CA65" s="1">
        <v>1</v>
      </c>
      <c r="CB65" s="1">
        <v>0</v>
      </c>
      <c r="CC65" s="1">
        <v>1</v>
      </c>
      <c r="CD65" s="1">
        <v>9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2</v>
      </c>
      <c r="CL65" s="1">
        <v>0</v>
      </c>
      <c r="CM65" s="1">
        <v>2</v>
      </c>
      <c r="CN65" s="1">
        <v>1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5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1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84</v>
      </c>
      <c r="DW65" s="1">
        <v>0</v>
      </c>
      <c r="DX65" s="1">
        <v>0</v>
      </c>
      <c r="DY65" s="1">
        <v>0</v>
      </c>
      <c r="DZ65" s="1">
        <v>1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35</v>
      </c>
    </row>
    <row r="66" spans="1:242" x14ac:dyDescent="0.25">
      <c r="A66">
        <v>15703</v>
      </c>
      <c r="B66">
        <v>29</v>
      </c>
      <c r="C66">
        <v>7</v>
      </c>
      <c r="D66" t="s">
        <v>218</v>
      </c>
      <c r="E66" t="s">
        <v>215</v>
      </c>
      <c r="F66">
        <v>3</v>
      </c>
      <c r="G66">
        <v>25.03275</v>
      </c>
      <c r="H66">
        <v>7.313916667</v>
      </c>
      <c r="I66">
        <v>13.23863839</v>
      </c>
      <c r="J66">
        <v>95.908333330000005</v>
      </c>
      <c r="K66">
        <v>31.716666669999999</v>
      </c>
      <c r="L66">
        <v>76.879761900000005</v>
      </c>
      <c r="M66">
        <v>10.97649784</v>
      </c>
      <c r="N66">
        <v>-2.74</v>
      </c>
      <c r="O66" s="8">
        <v>-3.0599999999999999E-2</v>
      </c>
      <c r="P66" t="s">
        <v>217</v>
      </c>
      <c r="Q66" t="s">
        <v>217</v>
      </c>
      <c r="R66" t="s">
        <v>217</v>
      </c>
      <c r="S66" t="s">
        <v>217</v>
      </c>
      <c r="T66" t="s">
        <v>217</v>
      </c>
      <c r="U66" t="s">
        <v>217</v>
      </c>
      <c r="V66">
        <f t="shared" si="0"/>
        <v>21</v>
      </c>
      <c r="W66">
        <f t="shared" si="1"/>
        <v>140</v>
      </c>
      <c r="X66">
        <f t="shared" si="2"/>
        <v>3</v>
      </c>
      <c r="Y66">
        <f t="shared" si="3"/>
        <v>20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9</v>
      </c>
      <c r="AN66" s="1">
        <v>0</v>
      </c>
      <c r="AO66" s="1">
        <v>7</v>
      </c>
      <c r="AP66" s="1">
        <v>25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  <c r="BI66" s="1">
        <v>0</v>
      </c>
      <c r="BJ66" s="1">
        <v>0</v>
      </c>
      <c r="BK66" s="1">
        <v>0</v>
      </c>
      <c r="BL66" s="1">
        <v>1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35</v>
      </c>
      <c r="BZ66" s="1">
        <v>25</v>
      </c>
      <c r="CA66" s="1">
        <v>0</v>
      </c>
      <c r="CB66" s="1">
        <v>0</v>
      </c>
      <c r="CC66" s="1">
        <v>0</v>
      </c>
      <c r="CD66" s="1">
        <v>8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2</v>
      </c>
      <c r="CK66" s="1">
        <v>0</v>
      </c>
      <c r="CL66" s="1">
        <v>0</v>
      </c>
      <c r="CM66" s="1">
        <v>0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9</v>
      </c>
      <c r="CW66" s="1">
        <v>0</v>
      </c>
      <c r="CX66" s="1">
        <v>0</v>
      </c>
      <c r="CY66" s="1">
        <v>0</v>
      </c>
      <c r="CZ66" s="1">
        <v>0</v>
      </c>
      <c r="DA66" s="1">
        <v>1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8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1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1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1</v>
      </c>
    </row>
    <row r="67" spans="1:242" x14ac:dyDescent="0.25">
      <c r="A67">
        <v>15707</v>
      </c>
      <c r="B67">
        <v>29</v>
      </c>
      <c r="C67">
        <v>7</v>
      </c>
      <c r="D67" t="s">
        <v>219</v>
      </c>
      <c r="E67" t="s">
        <v>220</v>
      </c>
      <c r="F67">
        <v>3</v>
      </c>
      <c r="G67">
        <v>30.901499999999999</v>
      </c>
      <c r="H67">
        <v>9.9890000000000008</v>
      </c>
      <c r="I67">
        <v>18.356752480000001</v>
      </c>
      <c r="J67">
        <v>98.491666670000001</v>
      </c>
      <c r="K67">
        <v>11.94166667</v>
      </c>
      <c r="L67">
        <v>53.34965278</v>
      </c>
      <c r="M67">
        <v>11.94818607</v>
      </c>
      <c r="N67">
        <v>-0.42</v>
      </c>
      <c r="O67">
        <v>-1.1599999999999999</v>
      </c>
      <c r="P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>
        <f t="shared" ref="V67:V130" si="4">COUNTIF(Z67:IH67, "&gt;0")</f>
        <v>43</v>
      </c>
      <c r="W67">
        <f t="shared" ref="W67:W130" si="5">SUM(Z67:IH67)</f>
        <v>517</v>
      </c>
      <c r="X67">
        <f t="shared" ref="X67:X130" si="6">V67/C67</f>
        <v>6.1428571428571432</v>
      </c>
      <c r="Y67">
        <f t="shared" ref="Y67:Y130" si="7">W67/C67</f>
        <v>73.857142857142861</v>
      </c>
      <c r="Z67" s="1">
        <v>0</v>
      </c>
      <c r="AA67" s="1">
        <v>2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19</v>
      </c>
      <c r="AI67" s="1">
        <v>1</v>
      </c>
      <c r="AJ67" s="1">
        <v>2</v>
      </c>
      <c r="AK67" s="1">
        <v>0</v>
      </c>
      <c r="AL67" s="1">
        <v>0</v>
      </c>
      <c r="AM67" s="1">
        <v>47</v>
      </c>
      <c r="AN67" s="1">
        <v>0</v>
      </c>
      <c r="AO67" s="1">
        <v>5</v>
      </c>
      <c r="AP67" s="1">
        <v>79</v>
      </c>
      <c r="AQ67" s="1">
        <v>8</v>
      </c>
      <c r="AR67" s="1">
        <v>1</v>
      </c>
      <c r="AS67" s="1">
        <v>0</v>
      </c>
      <c r="AT67" s="1">
        <v>2</v>
      </c>
      <c r="AU67" s="1">
        <v>0</v>
      </c>
      <c r="AV67" s="1">
        <v>0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2</v>
      </c>
      <c r="BG67" s="1">
        <v>1</v>
      </c>
      <c r="BH67" s="1">
        <v>0</v>
      </c>
      <c r="BI67" s="1">
        <v>0</v>
      </c>
      <c r="BJ67" s="1">
        <v>0</v>
      </c>
      <c r="BK67" s="1">
        <v>0</v>
      </c>
      <c r="BL67" s="1">
        <v>14</v>
      </c>
      <c r="BM67" s="1">
        <v>0</v>
      </c>
      <c r="BN67" s="1">
        <v>1</v>
      </c>
      <c r="BO67" s="1">
        <v>2</v>
      </c>
      <c r="BP67" s="1">
        <v>0</v>
      </c>
      <c r="BQ67" s="1">
        <v>0</v>
      </c>
      <c r="BR67" s="1">
        <v>0</v>
      </c>
      <c r="BS67" s="1">
        <v>2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137</v>
      </c>
      <c r="BZ67" s="1">
        <v>65</v>
      </c>
      <c r="CA67" s="1">
        <v>0</v>
      </c>
      <c r="CB67" s="1">
        <v>8</v>
      </c>
      <c r="CC67" s="1">
        <v>0</v>
      </c>
      <c r="CD67" s="1">
        <v>10</v>
      </c>
      <c r="CE67" s="1">
        <v>0</v>
      </c>
      <c r="CF67" s="1">
        <v>0</v>
      </c>
      <c r="CG67" s="1">
        <v>1</v>
      </c>
      <c r="CH67" s="1">
        <v>0</v>
      </c>
      <c r="CI67" s="1">
        <v>0</v>
      </c>
      <c r="CJ67" s="1">
        <v>0</v>
      </c>
      <c r="CK67" s="1">
        <v>1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5</v>
      </c>
      <c r="CS67" s="1">
        <v>0</v>
      </c>
      <c r="CT67" s="1">
        <v>0</v>
      </c>
      <c r="CU67" s="1">
        <v>0</v>
      </c>
      <c r="CV67" s="1">
        <v>32</v>
      </c>
      <c r="CW67" s="1">
        <v>1</v>
      </c>
      <c r="CX67" s="1">
        <v>0</v>
      </c>
      <c r="CY67" s="1">
        <v>0</v>
      </c>
      <c r="CZ67" s="1">
        <v>0</v>
      </c>
      <c r="DA67" s="1">
        <v>0</v>
      </c>
      <c r="DB67" s="1">
        <v>3</v>
      </c>
      <c r="DC67" s="1">
        <v>0</v>
      </c>
      <c r="DD67" s="1">
        <v>0</v>
      </c>
      <c r="DE67" s="1">
        <v>0</v>
      </c>
      <c r="DF67" s="1">
        <v>0</v>
      </c>
      <c r="DG67" s="1">
        <v>1</v>
      </c>
      <c r="DH67" s="1">
        <v>0</v>
      </c>
      <c r="DI67" s="1">
        <v>0</v>
      </c>
      <c r="DJ67" s="1">
        <v>1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19</v>
      </c>
      <c r="EA67" s="1">
        <v>0</v>
      </c>
      <c r="EB67" s="1">
        <v>4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5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1</v>
      </c>
      <c r="ES67" s="1">
        <v>0</v>
      </c>
      <c r="ET67" s="1">
        <v>0</v>
      </c>
      <c r="EU67" s="1">
        <v>2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1</v>
      </c>
      <c r="FI67" s="1">
        <v>0</v>
      </c>
      <c r="FJ67" s="1">
        <v>0</v>
      </c>
      <c r="FK67" s="1">
        <v>0</v>
      </c>
      <c r="FL67" s="1">
        <v>0</v>
      </c>
      <c r="FM67" s="1">
        <v>2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5</v>
      </c>
      <c r="GI67" s="1">
        <v>0</v>
      </c>
      <c r="GJ67" s="1">
        <v>9</v>
      </c>
      <c r="GK67" s="1">
        <v>0</v>
      </c>
      <c r="GL67" s="1">
        <v>0</v>
      </c>
      <c r="GM67" s="1">
        <v>1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5</v>
      </c>
      <c r="IG67">
        <v>0</v>
      </c>
      <c r="IH67">
        <v>5</v>
      </c>
    </row>
    <row r="68" spans="1:242" x14ac:dyDescent="0.25">
      <c r="A68">
        <v>15710</v>
      </c>
      <c r="B68">
        <v>28</v>
      </c>
      <c r="C68">
        <v>7</v>
      </c>
      <c r="D68" t="s">
        <v>218</v>
      </c>
      <c r="E68" t="s">
        <v>215</v>
      </c>
      <c r="F68">
        <v>6</v>
      </c>
      <c r="G68">
        <v>26.860250000000001</v>
      </c>
      <c r="H68">
        <v>5.33575</v>
      </c>
      <c r="I68">
        <v>13.13866617</v>
      </c>
      <c r="J68">
        <v>98.716666669999995</v>
      </c>
      <c r="K68">
        <v>28.616666670000001</v>
      </c>
      <c r="L68">
        <v>78.388690479999994</v>
      </c>
      <c r="M68">
        <v>10.976247259999999</v>
      </c>
      <c r="N68">
        <v>-3.04</v>
      </c>
      <c r="O68">
        <v>-0.224</v>
      </c>
      <c r="P68" t="s">
        <v>216</v>
      </c>
      <c r="Q68" t="s">
        <v>217</v>
      </c>
      <c r="R68" t="s">
        <v>217</v>
      </c>
      <c r="S68" t="s">
        <v>217</v>
      </c>
      <c r="T68" t="s">
        <v>217</v>
      </c>
      <c r="U68" t="s">
        <v>216</v>
      </c>
      <c r="V68">
        <f t="shared" si="4"/>
        <v>24</v>
      </c>
      <c r="W68">
        <f t="shared" si="5"/>
        <v>106</v>
      </c>
      <c r="X68">
        <f t="shared" si="6"/>
        <v>3.4285714285714284</v>
      </c>
      <c r="Y68">
        <f t="shared" si="7"/>
        <v>15.142857142857142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14</v>
      </c>
      <c r="AN68" s="1">
        <v>0</v>
      </c>
      <c r="AO68" s="1">
        <v>0</v>
      </c>
      <c r="AP68" s="1">
        <v>10</v>
      </c>
      <c r="AQ68" s="1">
        <v>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</v>
      </c>
      <c r="BF68" s="1">
        <v>0</v>
      </c>
      <c r="BG68" s="1">
        <v>0</v>
      </c>
      <c r="BH68" s="1">
        <v>1</v>
      </c>
      <c r="BI68" s="1">
        <v>0</v>
      </c>
      <c r="BJ68" s="1">
        <v>0</v>
      </c>
      <c r="BK68" s="1">
        <v>0</v>
      </c>
      <c r="BL68" s="1">
        <v>1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1</v>
      </c>
      <c r="BV68" s="1">
        <v>0</v>
      </c>
      <c r="BW68" s="1">
        <v>0</v>
      </c>
      <c r="BX68" s="1">
        <v>0</v>
      </c>
      <c r="BY68" s="1">
        <v>8</v>
      </c>
      <c r="BZ68" s="1">
        <v>5</v>
      </c>
      <c r="CA68" s="1">
        <v>0</v>
      </c>
      <c r="CB68" s="1">
        <v>0</v>
      </c>
      <c r="CC68" s="1">
        <v>0</v>
      </c>
      <c r="CD68" s="1">
        <v>34</v>
      </c>
      <c r="CE68" s="1">
        <v>1</v>
      </c>
      <c r="CF68" s="1">
        <v>0</v>
      </c>
      <c r="CG68" s="1">
        <v>0</v>
      </c>
      <c r="CH68" s="1">
        <v>0</v>
      </c>
      <c r="CI68" s="1">
        <v>0</v>
      </c>
      <c r="CJ68" s="1">
        <v>4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1</v>
      </c>
      <c r="CU68" s="1">
        <v>0</v>
      </c>
      <c r="CV68" s="1">
        <v>5</v>
      </c>
      <c r="CW68" s="1">
        <v>1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1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1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1</v>
      </c>
      <c r="FY68" s="1">
        <v>3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1</v>
      </c>
      <c r="GG68" s="1">
        <v>0</v>
      </c>
      <c r="GH68" s="1">
        <v>0</v>
      </c>
      <c r="GI68" s="1">
        <v>0</v>
      </c>
      <c r="GJ68" s="1">
        <v>3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3</v>
      </c>
    </row>
    <row r="69" spans="1:242" x14ac:dyDescent="0.25">
      <c r="A69">
        <v>15714</v>
      </c>
      <c r="B69">
        <v>28</v>
      </c>
      <c r="C69">
        <v>7</v>
      </c>
      <c r="D69" t="s">
        <v>219</v>
      </c>
      <c r="E69" t="s">
        <v>220</v>
      </c>
      <c r="F69">
        <v>6</v>
      </c>
      <c r="G69">
        <v>32.424750000000003</v>
      </c>
      <c r="H69">
        <v>6.7415000000000003</v>
      </c>
      <c r="I69">
        <v>17.516946430000001</v>
      </c>
      <c r="J69">
        <v>98.858333329999994</v>
      </c>
      <c r="K69">
        <v>12.475</v>
      </c>
      <c r="L69">
        <v>60.721081349999999</v>
      </c>
      <c r="M69">
        <v>11.94815402</v>
      </c>
      <c r="N69">
        <v>-0.91600000000000004</v>
      </c>
      <c r="O69">
        <v>-1.22</v>
      </c>
      <c r="P69" t="s">
        <v>216</v>
      </c>
      <c r="Q69" t="s">
        <v>217</v>
      </c>
      <c r="R69" t="s">
        <v>217</v>
      </c>
      <c r="S69" t="s">
        <v>217</v>
      </c>
      <c r="T69" t="s">
        <v>217</v>
      </c>
      <c r="U69" t="s">
        <v>216</v>
      </c>
      <c r="V69">
        <f t="shared" si="4"/>
        <v>38</v>
      </c>
      <c r="W69">
        <f t="shared" si="5"/>
        <v>426</v>
      </c>
      <c r="X69">
        <f t="shared" si="6"/>
        <v>5.4285714285714288</v>
      </c>
      <c r="Y69">
        <f t="shared" si="7"/>
        <v>60.857142857142854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1</v>
      </c>
      <c r="AJ69" s="1">
        <v>0</v>
      </c>
      <c r="AK69" s="1">
        <v>1</v>
      </c>
      <c r="AL69" s="1">
        <v>0</v>
      </c>
      <c r="AM69" s="1">
        <v>99</v>
      </c>
      <c r="AN69" s="1">
        <v>0</v>
      </c>
      <c r="AO69" s="1">
        <v>1</v>
      </c>
      <c r="AP69" s="1">
        <v>70</v>
      </c>
      <c r="AQ69" s="1">
        <v>2</v>
      </c>
      <c r="AR69" s="1">
        <v>1</v>
      </c>
      <c r="AS69" s="1">
        <v>1</v>
      </c>
      <c r="AT69" s="1">
        <v>4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5</v>
      </c>
      <c r="BB69" s="1">
        <v>0</v>
      </c>
      <c r="BC69" s="1">
        <v>0</v>
      </c>
      <c r="BD69" s="1">
        <v>0</v>
      </c>
      <c r="BE69" s="1">
        <v>2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14</v>
      </c>
      <c r="BM69" s="1">
        <v>0</v>
      </c>
      <c r="BN69" s="1">
        <v>0</v>
      </c>
      <c r="BO69" s="1">
        <v>0</v>
      </c>
      <c r="BP69" s="1">
        <v>0</v>
      </c>
      <c r="BQ69" s="1">
        <v>2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15</v>
      </c>
      <c r="BZ69" s="1">
        <v>34</v>
      </c>
      <c r="CA69" s="1">
        <v>0</v>
      </c>
      <c r="CB69" s="1">
        <v>1</v>
      </c>
      <c r="CC69" s="1">
        <v>1</v>
      </c>
      <c r="CD69" s="1">
        <v>100</v>
      </c>
      <c r="CE69" s="1">
        <v>0</v>
      </c>
      <c r="CF69" s="1">
        <v>0</v>
      </c>
      <c r="CG69" s="1">
        <v>0</v>
      </c>
      <c r="CH69" s="1">
        <v>0</v>
      </c>
      <c r="CI69" s="1">
        <v>1</v>
      </c>
      <c r="CJ69" s="1">
        <v>0</v>
      </c>
      <c r="CK69" s="1">
        <v>3</v>
      </c>
      <c r="CL69" s="1">
        <v>0</v>
      </c>
      <c r="CM69" s="1">
        <v>0</v>
      </c>
      <c r="CN69" s="1">
        <v>5</v>
      </c>
      <c r="CO69" s="1">
        <v>0</v>
      </c>
      <c r="CP69" s="1">
        <v>0</v>
      </c>
      <c r="CQ69" s="1">
        <v>0</v>
      </c>
      <c r="CR69" s="1">
        <v>0</v>
      </c>
      <c r="CS69" s="1">
        <v>1</v>
      </c>
      <c r="CT69" s="1">
        <v>0</v>
      </c>
      <c r="CU69" s="1">
        <v>0</v>
      </c>
      <c r="CV69" s="1">
        <v>13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8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9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6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1</v>
      </c>
      <c r="EK69" s="1">
        <v>3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1</v>
      </c>
      <c r="GC69" s="1">
        <v>0</v>
      </c>
      <c r="GD69" s="1">
        <v>0</v>
      </c>
      <c r="GE69" s="1">
        <v>1</v>
      </c>
      <c r="GF69" s="1">
        <v>0</v>
      </c>
      <c r="GG69" s="1">
        <v>0</v>
      </c>
      <c r="GH69" s="1">
        <v>0</v>
      </c>
      <c r="GI69" s="1">
        <v>0</v>
      </c>
      <c r="GJ69" s="1">
        <v>5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9</v>
      </c>
    </row>
    <row r="70" spans="1:242" x14ac:dyDescent="0.25">
      <c r="A70">
        <v>15721</v>
      </c>
      <c r="B70">
        <v>3</v>
      </c>
      <c r="C70">
        <v>7</v>
      </c>
      <c r="D70" t="s">
        <v>219</v>
      </c>
      <c r="E70" t="s">
        <v>220</v>
      </c>
      <c r="F70">
        <v>9</v>
      </c>
      <c r="G70">
        <v>31.376750000000001</v>
      </c>
      <c r="H70">
        <v>10.105916669999999</v>
      </c>
      <c r="I70">
        <v>18.300759419999999</v>
      </c>
      <c r="J70">
        <v>97</v>
      </c>
      <c r="K70">
        <v>11.475</v>
      </c>
      <c r="L70">
        <v>60.302430559999998</v>
      </c>
      <c r="M70">
        <v>11.948665439999999</v>
      </c>
      <c r="N70">
        <v>-0.38500000000000001</v>
      </c>
      <c r="O70">
        <v>-0.96099999999999997</v>
      </c>
      <c r="P70" t="s">
        <v>216</v>
      </c>
      <c r="Q70" t="s">
        <v>217</v>
      </c>
      <c r="R70" t="s">
        <v>217</v>
      </c>
      <c r="S70" t="s">
        <v>217</v>
      </c>
      <c r="T70" t="s">
        <v>217</v>
      </c>
      <c r="U70" t="s">
        <v>216</v>
      </c>
      <c r="V70">
        <f t="shared" si="4"/>
        <v>16</v>
      </c>
      <c r="W70">
        <f t="shared" si="5"/>
        <v>72</v>
      </c>
      <c r="X70">
        <f t="shared" si="6"/>
        <v>2.2857142857142856</v>
      </c>
      <c r="Y70">
        <f t="shared" si="7"/>
        <v>10.285714285714286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22</v>
      </c>
      <c r="AN70" s="1">
        <v>0</v>
      </c>
      <c r="AO70" s="1">
        <v>0</v>
      </c>
      <c r="AP70" s="1">
        <v>8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1</v>
      </c>
      <c r="BM70" s="1">
        <v>1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2</v>
      </c>
      <c r="CA70" s="1">
        <v>0</v>
      </c>
      <c r="CB70" s="1">
        <v>1</v>
      </c>
      <c r="CC70" s="1">
        <v>1</v>
      </c>
      <c r="CD70" s="1">
        <v>18</v>
      </c>
      <c r="CE70" s="1">
        <v>0</v>
      </c>
      <c r="CF70" s="1">
        <v>0</v>
      </c>
      <c r="CG70" s="1">
        <v>0</v>
      </c>
      <c r="CH70" s="1">
        <v>0</v>
      </c>
      <c r="CI70" s="1">
        <v>5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5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1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1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3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</v>
      </c>
    </row>
    <row r="71" spans="1:242" x14ac:dyDescent="0.25">
      <c r="A71">
        <v>15726</v>
      </c>
      <c r="B71">
        <v>27</v>
      </c>
      <c r="C71">
        <v>7</v>
      </c>
      <c r="D71" t="s">
        <v>218</v>
      </c>
      <c r="E71" t="s">
        <v>215</v>
      </c>
      <c r="F71">
        <v>3</v>
      </c>
      <c r="G71">
        <v>22.87241667</v>
      </c>
      <c r="H71">
        <v>8.3422499999999999</v>
      </c>
      <c r="I71">
        <v>13.167192460000001</v>
      </c>
      <c r="J71">
        <v>96.333333330000002</v>
      </c>
      <c r="K71">
        <v>37.924999999999997</v>
      </c>
      <c r="L71">
        <v>77.808432539999998</v>
      </c>
      <c r="M71">
        <v>10.97698471</v>
      </c>
      <c r="N71">
        <v>-3.02</v>
      </c>
      <c r="O71">
        <v>0.46700000000000003</v>
      </c>
      <c r="P71" t="s">
        <v>217</v>
      </c>
      <c r="Q71" t="s">
        <v>217</v>
      </c>
      <c r="R71" t="s">
        <v>217</v>
      </c>
      <c r="S71" t="s">
        <v>217</v>
      </c>
      <c r="T71" t="s">
        <v>217</v>
      </c>
      <c r="U71" t="s">
        <v>216</v>
      </c>
      <c r="V71">
        <f t="shared" si="4"/>
        <v>12</v>
      </c>
      <c r="W71">
        <f t="shared" si="5"/>
        <v>36</v>
      </c>
      <c r="X71">
        <f t="shared" si="6"/>
        <v>1.7142857142857142</v>
      </c>
      <c r="Y71">
        <f t="shared" si="7"/>
        <v>5.1428571428571432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2</v>
      </c>
      <c r="AK71" s="1">
        <v>0</v>
      </c>
      <c r="AL71" s="1">
        <v>0</v>
      </c>
      <c r="AM71" s="1">
        <v>4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</v>
      </c>
      <c r="BF71" s="1">
        <v>1</v>
      </c>
      <c r="BG71" s="1">
        <v>1</v>
      </c>
      <c r="BH71" s="1">
        <v>0</v>
      </c>
      <c r="BI71" s="1">
        <v>0</v>
      </c>
      <c r="BJ71" s="1">
        <v>0</v>
      </c>
      <c r="BK71" s="1">
        <v>0</v>
      </c>
      <c r="BL71" s="1">
        <v>2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11</v>
      </c>
      <c r="BZ71" s="1">
        <v>0</v>
      </c>
      <c r="CA71" s="1">
        <v>0</v>
      </c>
      <c r="CB71" s="1">
        <v>0</v>
      </c>
      <c r="CC71" s="1">
        <v>0</v>
      </c>
      <c r="CD71" s="1">
        <v>5</v>
      </c>
      <c r="CE71" s="1">
        <v>0</v>
      </c>
      <c r="CF71" s="1">
        <v>0</v>
      </c>
      <c r="CG71" s="1">
        <v>0</v>
      </c>
      <c r="CH71" s="1">
        <v>0</v>
      </c>
      <c r="CI71" s="1">
        <v>4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3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1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</row>
    <row r="72" spans="1:242" x14ac:dyDescent="0.25">
      <c r="A72">
        <v>15730</v>
      </c>
      <c r="B72">
        <v>27</v>
      </c>
      <c r="C72">
        <v>7</v>
      </c>
      <c r="D72" t="s">
        <v>219</v>
      </c>
      <c r="E72" t="s">
        <v>220</v>
      </c>
      <c r="F72">
        <v>3</v>
      </c>
      <c r="G72">
        <v>28.504333330000001</v>
      </c>
      <c r="H72">
        <v>10.921416669999999</v>
      </c>
      <c r="I72">
        <v>18.113093750000001</v>
      </c>
      <c r="J72">
        <v>97.674999999999997</v>
      </c>
      <c r="K72">
        <v>14.391666669999999</v>
      </c>
      <c r="L72">
        <v>54.903373019999997</v>
      </c>
      <c r="M72">
        <v>11.948248339999999</v>
      </c>
      <c r="N72">
        <v>-0.59699999999999998</v>
      </c>
      <c r="O72">
        <v>-0.89500000000000002</v>
      </c>
      <c r="P72" t="s">
        <v>217</v>
      </c>
      <c r="Q72" t="s">
        <v>217</v>
      </c>
      <c r="R72" t="s">
        <v>217</v>
      </c>
      <c r="S72" t="s">
        <v>217</v>
      </c>
      <c r="T72" t="s">
        <v>217</v>
      </c>
      <c r="U72" t="s">
        <v>216</v>
      </c>
      <c r="V72">
        <f t="shared" si="4"/>
        <v>9</v>
      </c>
      <c r="W72">
        <f t="shared" si="5"/>
        <v>31</v>
      </c>
      <c r="X72">
        <f t="shared" si="6"/>
        <v>1.2857142857142858</v>
      </c>
      <c r="Y72">
        <f t="shared" si="7"/>
        <v>4.4285714285714288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2</v>
      </c>
      <c r="AN72" s="1">
        <v>2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1</v>
      </c>
      <c r="BM72" s="1">
        <v>0</v>
      </c>
      <c r="BN72" s="1">
        <v>0</v>
      </c>
      <c r="BO72" s="1">
        <v>2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11</v>
      </c>
      <c r="BZ72" s="1">
        <v>0</v>
      </c>
      <c r="CA72" s="1">
        <v>0</v>
      </c>
      <c r="CB72" s="1">
        <v>0</v>
      </c>
      <c r="CC72" s="1">
        <v>0</v>
      </c>
      <c r="CD72" s="1">
        <v>10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1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</row>
    <row r="73" spans="1:242" x14ac:dyDescent="0.25">
      <c r="A73">
        <v>15735</v>
      </c>
      <c r="B73">
        <v>5</v>
      </c>
      <c r="C73">
        <v>7</v>
      </c>
      <c r="D73" t="s">
        <v>219</v>
      </c>
      <c r="E73" t="s">
        <v>220</v>
      </c>
      <c r="F73">
        <v>3</v>
      </c>
      <c r="G73">
        <v>30.620999999999999</v>
      </c>
      <c r="H73">
        <v>11.122583329999999</v>
      </c>
      <c r="I73">
        <v>18.34870188</v>
      </c>
      <c r="J73">
        <v>98.333333330000002</v>
      </c>
      <c r="K73">
        <v>12.34166667</v>
      </c>
      <c r="L73">
        <v>56.166716270000002</v>
      </c>
      <c r="M73">
        <v>11.948347589999999</v>
      </c>
      <c r="N73">
        <v>-0.40200000000000002</v>
      </c>
      <c r="O73">
        <v>-0.91</v>
      </c>
      <c r="P73" t="s">
        <v>216</v>
      </c>
      <c r="Q73" t="s">
        <v>216</v>
      </c>
      <c r="R73" t="s">
        <v>216</v>
      </c>
      <c r="S73" t="s">
        <v>217</v>
      </c>
      <c r="T73" t="s">
        <v>217</v>
      </c>
      <c r="U73" t="s">
        <v>216</v>
      </c>
      <c r="V73">
        <f t="shared" si="4"/>
        <v>26</v>
      </c>
      <c r="W73">
        <f t="shared" si="5"/>
        <v>207</v>
      </c>
      <c r="X73">
        <f t="shared" si="6"/>
        <v>3.7142857142857144</v>
      </c>
      <c r="Y73">
        <f t="shared" si="7"/>
        <v>29.571428571428573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9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9</v>
      </c>
      <c r="AN73" s="1">
        <v>1</v>
      </c>
      <c r="AO73" s="1">
        <v>0</v>
      </c>
      <c r="AP73" s="1">
        <v>0</v>
      </c>
      <c r="AQ73" s="1">
        <v>0</v>
      </c>
      <c r="AR73" s="1">
        <v>4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2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15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30</v>
      </c>
      <c r="BZ73" s="1">
        <v>18</v>
      </c>
      <c r="CA73" s="1">
        <v>12</v>
      </c>
      <c r="CB73" s="1">
        <v>0</v>
      </c>
      <c r="CC73" s="1">
        <v>0</v>
      </c>
      <c r="CD73" s="1">
        <v>25</v>
      </c>
      <c r="CE73" s="1">
        <v>0</v>
      </c>
      <c r="CF73" s="1">
        <v>0</v>
      </c>
      <c r="CG73" s="1">
        <v>0</v>
      </c>
      <c r="CH73" s="1">
        <v>0</v>
      </c>
      <c r="CI73" s="1">
        <v>3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8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2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2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1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1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11</v>
      </c>
      <c r="GC73" s="1">
        <v>0</v>
      </c>
      <c r="GD73" s="1">
        <v>0</v>
      </c>
      <c r="GE73" s="1">
        <v>4</v>
      </c>
      <c r="GF73" s="1">
        <v>2</v>
      </c>
      <c r="GG73" s="1">
        <v>0</v>
      </c>
      <c r="GH73" s="1">
        <v>0</v>
      </c>
      <c r="GI73" s="1">
        <v>0</v>
      </c>
      <c r="GJ73" s="1">
        <v>4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>
        <v>0</v>
      </c>
      <c r="GT73">
        <v>0</v>
      </c>
      <c r="GU73">
        <v>0</v>
      </c>
      <c r="GV73">
        <v>1</v>
      </c>
      <c r="GW73">
        <v>0</v>
      </c>
      <c r="GX73">
        <v>3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3</v>
      </c>
      <c r="IE73">
        <v>0</v>
      </c>
      <c r="IF73">
        <v>0</v>
      </c>
      <c r="IG73">
        <v>0</v>
      </c>
      <c r="IH73">
        <v>35</v>
      </c>
    </row>
    <row r="74" spans="1:242" x14ac:dyDescent="0.25">
      <c r="A74">
        <v>15740</v>
      </c>
      <c r="B74">
        <v>8</v>
      </c>
      <c r="C74">
        <v>7</v>
      </c>
      <c r="D74" t="s">
        <v>219</v>
      </c>
      <c r="E74" t="s">
        <v>220</v>
      </c>
      <c r="F74">
        <v>9</v>
      </c>
      <c r="G74">
        <v>32.31208333</v>
      </c>
      <c r="H74">
        <v>10.337999999999999</v>
      </c>
      <c r="I74">
        <v>18.25144246</v>
      </c>
      <c r="J74">
        <v>96.05</v>
      </c>
      <c r="K74">
        <v>13.358333330000001</v>
      </c>
      <c r="L74">
        <v>62.467013889999997</v>
      </c>
      <c r="M74">
        <v>11.94868542</v>
      </c>
      <c r="N74">
        <v>-0.25900000000000001</v>
      </c>
      <c r="O74">
        <v>-0.81899999999999995</v>
      </c>
      <c r="P74" t="s">
        <v>216</v>
      </c>
      <c r="Q74" t="s">
        <v>216</v>
      </c>
      <c r="R74" t="s">
        <v>217</v>
      </c>
      <c r="S74" t="s">
        <v>217</v>
      </c>
      <c r="T74" t="s">
        <v>217</v>
      </c>
      <c r="U74" t="s">
        <v>216</v>
      </c>
      <c r="V74">
        <f t="shared" si="4"/>
        <v>2</v>
      </c>
      <c r="W74">
        <f t="shared" si="5"/>
        <v>2</v>
      </c>
      <c r="X74">
        <f t="shared" si="6"/>
        <v>0.2857142857142857</v>
      </c>
      <c r="Y74">
        <f t="shared" si="7"/>
        <v>0.2857142857142857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1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1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</row>
    <row r="75" spans="1:242" x14ac:dyDescent="0.25">
      <c r="A75">
        <v>15746</v>
      </c>
      <c r="B75">
        <v>6</v>
      </c>
      <c r="C75">
        <v>8</v>
      </c>
      <c r="D75" t="s">
        <v>219</v>
      </c>
      <c r="E75" t="s">
        <v>220</v>
      </c>
      <c r="F75">
        <v>4</v>
      </c>
      <c r="G75">
        <v>30.695666670000001</v>
      </c>
      <c r="H75">
        <v>10.47516667</v>
      </c>
      <c r="I75">
        <v>18.04398462</v>
      </c>
      <c r="J75">
        <v>98.5</v>
      </c>
      <c r="K75">
        <v>12.06666667</v>
      </c>
      <c r="L75">
        <v>58.050496029999998</v>
      </c>
      <c r="M75">
        <v>11.948223540000001</v>
      </c>
      <c r="N75">
        <v>-0.55700000000000005</v>
      </c>
      <c r="O75">
        <v>-0.92400000000000004</v>
      </c>
      <c r="P75" t="s">
        <v>216</v>
      </c>
      <c r="Q75" t="s">
        <v>217</v>
      </c>
      <c r="R75" t="s">
        <v>217</v>
      </c>
      <c r="S75" t="s">
        <v>217</v>
      </c>
      <c r="T75" t="s">
        <v>217</v>
      </c>
      <c r="U75" t="s">
        <v>216</v>
      </c>
      <c r="V75">
        <f t="shared" si="4"/>
        <v>48</v>
      </c>
      <c r="W75">
        <f t="shared" si="5"/>
        <v>201</v>
      </c>
      <c r="X75">
        <f t="shared" si="6"/>
        <v>6</v>
      </c>
      <c r="Y75">
        <f t="shared" si="7"/>
        <v>25.125</v>
      </c>
      <c r="Z75" s="1">
        <v>0</v>
      </c>
      <c r="AA75" s="1">
        <v>2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3</v>
      </c>
      <c r="AI75" s="1">
        <v>0</v>
      </c>
      <c r="AJ75" s="1">
        <v>0</v>
      </c>
      <c r="AK75" s="1">
        <v>0</v>
      </c>
      <c r="AL75" s="1">
        <v>0</v>
      </c>
      <c r="AM75" s="1">
        <v>27</v>
      </c>
      <c r="AN75" s="1">
        <v>2</v>
      </c>
      <c r="AO75" s="1">
        <v>3</v>
      </c>
      <c r="AP75" s="1">
        <v>5</v>
      </c>
      <c r="AQ75" s="1">
        <v>1</v>
      </c>
      <c r="AR75" s="1">
        <v>0</v>
      </c>
      <c r="AS75" s="1">
        <v>2</v>
      </c>
      <c r="AT75" s="1">
        <v>7</v>
      </c>
      <c r="AU75" s="1">
        <v>0</v>
      </c>
      <c r="AV75" s="1">
        <v>0</v>
      </c>
      <c r="AW75" s="1">
        <v>0</v>
      </c>
      <c r="AX75" s="1">
        <v>1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4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1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1</v>
      </c>
      <c r="BU75" s="1">
        <v>0</v>
      </c>
      <c r="BV75" s="1">
        <v>1</v>
      </c>
      <c r="BW75" s="1">
        <v>0</v>
      </c>
      <c r="BX75" s="1">
        <v>0</v>
      </c>
      <c r="BY75" s="1">
        <v>24</v>
      </c>
      <c r="BZ75" s="1">
        <v>20</v>
      </c>
      <c r="CA75" s="1">
        <v>0</v>
      </c>
      <c r="CB75" s="1">
        <v>3</v>
      </c>
      <c r="CC75" s="1">
        <v>0</v>
      </c>
      <c r="CD75" s="1">
        <v>9</v>
      </c>
      <c r="CE75" s="1">
        <v>0</v>
      </c>
      <c r="CF75" s="1">
        <v>0</v>
      </c>
      <c r="CG75" s="1">
        <v>6</v>
      </c>
      <c r="CH75" s="1">
        <v>0</v>
      </c>
      <c r="CI75" s="1">
        <v>0</v>
      </c>
      <c r="CJ75" s="1">
        <v>1</v>
      </c>
      <c r="CK75" s="1">
        <v>0</v>
      </c>
      <c r="CL75" s="1">
        <v>0</v>
      </c>
      <c r="CM75" s="1">
        <v>1</v>
      </c>
      <c r="CN75" s="1">
        <v>1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6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3</v>
      </c>
      <c r="DC75" s="1">
        <v>0</v>
      </c>
      <c r="DD75" s="1">
        <v>0</v>
      </c>
      <c r="DE75" s="1">
        <v>0</v>
      </c>
      <c r="DF75" s="1">
        <v>0</v>
      </c>
      <c r="DG75" s="1">
        <v>9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1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4</v>
      </c>
      <c r="EA75" s="1">
        <v>0</v>
      </c>
      <c r="EB75" s="1">
        <v>5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3</v>
      </c>
      <c r="EI75" s="1">
        <v>0</v>
      </c>
      <c r="EJ75" s="1">
        <v>1</v>
      </c>
      <c r="EK75" s="1">
        <v>23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1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1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1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2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1</v>
      </c>
      <c r="FV75" s="1">
        <v>0</v>
      </c>
      <c r="FW75" s="1">
        <v>0</v>
      </c>
      <c r="FX75" s="1">
        <v>0</v>
      </c>
      <c r="FY75" s="1">
        <v>1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>
        <v>0</v>
      </c>
      <c r="GT75">
        <v>1</v>
      </c>
      <c r="GU75">
        <v>0</v>
      </c>
      <c r="GV75">
        <v>2</v>
      </c>
      <c r="GW75">
        <v>0</v>
      </c>
      <c r="GX75">
        <v>0</v>
      </c>
      <c r="GY75">
        <v>0</v>
      </c>
      <c r="GZ75">
        <v>2</v>
      </c>
      <c r="HA75">
        <v>0</v>
      </c>
      <c r="HB75">
        <v>1</v>
      </c>
      <c r="HC75">
        <v>0</v>
      </c>
      <c r="HD75">
        <v>1</v>
      </c>
      <c r="HE75">
        <v>0</v>
      </c>
      <c r="HF75">
        <v>0</v>
      </c>
      <c r="HG75">
        <v>0</v>
      </c>
      <c r="HH75">
        <v>2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1</v>
      </c>
      <c r="IG75">
        <v>0</v>
      </c>
      <c r="IH75">
        <v>1</v>
      </c>
    </row>
    <row r="76" spans="1:242" x14ac:dyDescent="0.25">
      <c r="A76">
        <v>15751</v>
      </c>
      <c r="B76">
        <v>20</v>
      </c>
      <c r="C76">
        <v>7</v>
      </c>
      <c r="D76" t="s">
        <v>219</v>
      </c>
      <c r="E76" t="s">
        <v>220</v>
      </c>
      <c r="F76">
        <v>4</v>
      </c>
      <c r="G76">
        <v>30.307833330000001</v>
      </c>
      <c r="H76">
        <v>10.8605</v>
      </c>
      <c r="I76">
        <v>17.953147820000002</v>
      </c>
      <c r="J76">
        <v>96.2</v>
      </c>
      <c r="K76">
        <v>11.85</v>
      </c>
      <c r="L76">
        <v>57.172817459999997</v>
      </c>
      <c r="M76">
        <v>11.94824257</v>
      </c>
      <c r="N76">
        <v>-0.312</v>
      </c>
      <c r="O76">
        <v>-1.04</v>
      </c>
      <c r="P76" t="s">
        <v>216</v>
      </c>
      <c r="Q76" t="s">
        <v>216</v>
      </c>
      <c r="R76" t="s">
        <v>217</v>
      </c>
      <c r="S76" t="s">
        <v>217</v>
      </c>
      <c r="T76" t="s">
        <v>217</v>
      </c>
      <c r="U76" t="s">
        <v>216</v>
      </c>
      <c r="V76">
        <f t="shared" si="4"/>
        <v>10</v>
      </c>
      <c r="W76">
        <f t="shared" si="5"/>
        <v>15</v>
      </c>
      <c r="X76">
        <f t="shared" si="6"/>
        <v>1.4285714285714286</v>
      </c>
      <c r="Y76">
        <f t="shared" si="7"/>
        <v>2.1428571428571428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3</v>
      </c>
      <c r="AN76" s="1">
        <v>0</v>
      </c>
      <c r="AO76" s="1">
        <v>0</v>
      </c>
      <c r="AP76" s="1">
        <v>1</v>
      </c>
      <c r="AQ76" s="1">
        <v>0</v>
      </c>
      <c r="AR76" s="1">
        <v>0</v>
      </c>
      <c r="AS76" s="1">
        <v>0</v>
      </c>
      <c r="AT76" s="1">
        <v>2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2</v>
      </c>
      <c r="CA76" s="1">
        <v>1</v>
      </c>
      <c r="CB76" s="1">
        <v>0</v>
      </c>
      <c r="CC76" s="1">
        <v>0</v>
      </c>
      <c r="CD76" s="1">
        <v>1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1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1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1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2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</row>
    <row r="77" spans="1:242" x14ac:dyDescent="0.25">
      <c r="A77">
        <v>15757</v>
      </c>
      <c r="B77">
        <v>4</v>
      </c>
      <c r="C77">
        <v>14</v>
      </c>
      <c r="D77" t="s">
        <v>219</v>
      </c>
      <c r="E77" t="s">
        <v>220</v>
      </c>
      <c r="F77">
        <v>4</v>
      </c>
      <c r="G77">
        <v>30.295333329999998</v>
      </c>
      <c r="H77">
        <v>10.14433333</v>
      </c>
      <c r="I77">
        <v>16.92212103</v>
      </c>
      <c r="J77">
        <v>98.366666670000001</v>
      </c>
      <c r="K77">
        <v>13.93333333</v>
      </c>
      <c r="L77">
        <v>64.602083329999999</v>
      </c>
      <c r="M77">
        <v>12.198162099999999</v>
      </c>
      <c r="N77">
        <v>-0.90300000000000002</v>
      </c>
      <c r="O77">
        <v>-0.61499999999999999</v>
      </c>
      <c r="P77" t="s">
        <v>216</v>
      </c>
      <c r="Q77" t="s">
        <v>217</v>
      </c>
      <c r="R77" t="s">
        <v>216</v>
      </c>
      <c r="S77" t="s">
        <v>217</v>
      </c>
      <c r="T77" t="s">
        <v>217</v>
      </c>
      <c r="U77" t="s">
        <v>216</v>
      </c>
      <c r="V77">
        <f t="shared" si="4"/>
        <v>27</v>
      </c>
      <c r="W77">
        <f t="shared" si="5"/>
        <v>154</v>
      </c>
      <c r="X77">
        <f t="shared" si="6"/>
        <v>1.9285714285714286</v>
      </c>
      <c r="Y77">
        <f t="shared" si="7"/>
        <v>11</v>
      </c>
      <c r="Z77" s="1">
        <v>0</v>
      </c>
      <c r="AA77" s="1">
        <v>3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2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58</v>
      </c>
      <c r="AN77" s="1">
        <v>13</v>
      </c>
      <c r="AO77" s="1">
        <v>1</v>
      </c>
      <c r="AP77" s="1">
        <v>2</v>
      </c>
      <c r="AQ77" s="1">
        <v>1</v>
      </c>
      <c r="AR77" s="1">
        <v>3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2</v>
      </c>
      <c r="BH77" s="1">
        <v>0</v>
      </c>
      <c r="BI77" s="1">
        <v>0</v>
      </c>
      <c r="BJ77" s="1">
        <v>0</v>
      </c>
      <c r="BK77" s="1">
        <v>1</v>
      </c>
      <c r="BL77" s="1">
        <v>0</v>
      </c>
      <c r="BM77" s="1">
        <v>0</v>
      </c>
      <c r="BN77" s="1">
        <v>0</v>
      </c>
      <c r="BO77" s="1">
        <v>1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  <c r="BX77" s="1">
        <v>0</v>
      </c>
      <c r="BY77" s="1">
        <v>7</v>
      </c>
      <c r="BZ77" s="1">
        <v>4</v>
      </c>
      <c r="CA77" s="1">
        <v>1</v>
      </c>
      <c r="CB77" s="1">
        <v>2</v>
      </c>
      <c r="CC77" s="1">
        <v>0</v>
      </c>
      <c r="CD77" s="1">
        <v>11</v>
      </c>
      <c r="CE77" s="1">
        <v>0</v>
      </c>
      <c r="CF77" s="1">
        <v>0</v>
      </c>
      <c r="CG77" s="1">
        <v>0</v>
      </c>
      <c r="CH77" s="1">
        <v>1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5</v>
      </c>
      <c r="CO77" s="1">
        <v>0</v>
      </c>
      <c r="CP77" s="1">
        <v>0</v>
      </c>
      <c r="CQ77" s="1">
        <v>0</v>
      </c>
      <c r="CR77" s="1">
        <v>1</v>
      </c>
      <c r="CS77" s="1">
        <v>0</v>
      </c>
      <c r="CT77" s="1">
        <v>0</v>
      </c>
      <c r="CU77" s="1">
        <v>0</v>
      </c>
      <c r="CV77" s="1">
        <v>11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5</v>
      </c>
      <c r="DP77" s="1">
        <v>0</v>
      </c>
      <c r="DQ77" s="1">
        <v>0</v>
      </c>
      <c r="DR77" s="1">
        <v>1</v>
      </c>
      <c r="DS77" s="1">
        <v>11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1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4</v>
      </c>
    </row>
    <row r="78" spans="1:242" x14ac:dyDescent="0.25">
      <c r="A78">
        <v>15763</v>
      </c>
      <c r="B78">
        <v>30</v>
      </c>
      <c r="C78">
        <v>7</v>
      </c>
      <c r="D78" t="s">
        <v>218</v>
      </c>
      <c r="E78" t="s">
        <v>215</v>
      </c>
      <c r="F78">
        <v>3</v>
      </c>
      <c r="G78">
        <v>24.088750000000001</v>
      </c>
      <c r="H78">
        <v>8.2446666670000006</v>
      </c>
      <c r="I78">
        <v>13.207226690000001</v>
      </c>
      <c r="J78">
        <v>97.958333330000002</v>
      </c>
      <c r="K78">
        <v>32.825000000000003</v>
      </c>
      <c r="L78">
        <v>77.802480160000002</v>
      </c>
      <c r="M78">
        <v>10.976392560000001</v>
      </c>
      <c r="N78">
        <v>-3</v>
      </c>
      <c r="O78">
        <v>0.26900000000000002</v>
      </c>
      <c r="P78" t="s">
        <v>217</v>
      </c>
      <c r="Q78" t="s">
        <v>217</v>
      </c>
      <c r="R78" t="s">
        <v>217</v>
      </c>
      <c r="S78" t="s">
        <v>216</v>
      </c>
      <c r="T78" t="s">
        <v>217</v>
      </c>
      <c r="U78" t="s">
        <v>217</v>
      </c>
      <c r="V78">
        <f t="shared" si="4"/>
        <v>24</v>
      </c>
      <c r="W78">
        <f t="shared" si="5"/>
        <v>124</v>
      </c>
      <c r="X78">
        <f t="shared" si="6"/>
        <v>3.4285714285714284</v>
      </c>
      <c r="Y78">
        <f t="shared" si="7"/>
        <v>17.714285714285715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7</v>
      </c>
      <c r="AN78" s="1">
        <v>0</v>
      </c>
      <c r="AO78" s="1">
        <v>0</v>
      </c>
      <c r="AP78" s="1">
        <v>2</v>
      </c>
      <c r="AQ78" s="1">
        <v>1</v>
      </c>
      <c r="AR78" s="1">
        <v>0</v>
      </c>
      <c r="AS78" s="1">
        <v>1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1</v>
      </c>
      <c r="BB78" s="1">
        <v>0</v>
      </c>
      <c r="BC78" s="1">
        <v>0</v>
      </c>
      <c r="BD78" s="1">
        <v>1</v>
      </c>
      <c r="BE78" s="1">
        <v>1</v>
      </c>
      <c r="BF78" s="1">
        <v>0</v>
      </c>
      <c r="BG78" s="1">
        <v>2</v>
      </c>
      <c r="BH78" s="1">
        <v>0</v>
      </c>
      <c r="BI78" s="1">
        <v>0</v>
      </c>
      <c r="BJ78" s="1">
        <v>0</v>
      </c>
      <c r="BK78" s="1">
        <v>0</v>
      </c>
      <c r="BL78" s="1">
        <v>4</v>
      </c>
      <c r="BM78" s="1">
        <v>0</v>
      </c>
      <c r="BN78" s="1">
        <v>1</v>
      </c>
      <c r="BO78" s="1">
        <v>0</v>
      </c>
      <c r="BP78" s="1">
        <v>0</v>
      </c>
      <c r="BQ78" s="1">
        <v>0</v>
      </c>
      <c r="BR78" s="1">
        <v>1</v>
      </c>
      <c r="BS78" s="1">
        <v>1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16</v>
      </c>
      <c r="BZ78" s="1">
        <v>11</v>
      </c>
      <c r="CA78" s="1">
        <v>0</v>
      </c>
      <c r="CB78" s="1">
        <v>0</v>
      </c>
      <c r="CC78" s="1">
        <v>0</v>
      </c>
      <c r="CD78" s="1">
        <v>57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1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1</v>
      </c>
      <c r="CQ78" s="1">
        <v>0</v>
      </c>
      <c r="CR78" s="1">
        <v>0</v>
      </c>
      <c r="CS78" s="1">
        <v>0</v>
      </c>
      <c r="CT78" s="1">
        <v>1</v>
      </c>
      <c r="CU78" s="1">
        <v>0</v>
      </c>
      <c r="CV78" s="1">
        <v>9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1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1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1</v>
      </c>
      <c r="IH78">
        <v>0</v>
      </c>
    </row>
    <row r="79" spans="1:242" x14ac:dyDescent="0.25">
      <c r="A79">
        <v>15767</v>
      </c>
      <c r="B79">
        <v>30</v>
      </c>
      <c r="C79">
        <v>7</v>
      </c>
      <c r="D79" t="s">
        <v>219</v>
      </c>
      <c r="E79" t="s">
        <v>220</v>
      </c>
      <c r="F79">
        <v>3</v>
      </c>
      <c r="G79">
        <v>27.941500000000001</v>
      </c>
      <c r="H79">
        <v>10.42191667</v>
      </c>
      <c r="I79">
        <v>18.486693949999999</v>
      </c>
      <c r="J79">
        <v>98.474999999999994</v>
      </c>
      <c r="K79">
        <v>12.824999999999999</v>
      </c>
      <c r="L79">
        <v>52.751289679999999</v>
      </c>
      <c r="M79">
        <v>11.948172599999999</v>
      </c>
      <c r="N79">
        <v>-0.65800000000000003</v>
      </c>
      <c r="O79">
        <v>-1.04</v>
      </c>
      <c r="P79" t="s">
        <v>217</v>
      </c>
      <c r="Q79" t="s">
        <v>217</v>
      </c>
      <c r="R79" t="s">
        <v>217</v>
      </c>
      <c r="S79" t="s">
        <v>216</v>
      </c>
      <c r="T79" t="s">
        <v>217</v>
      </c>
      <c r="U79" t="s">
        <v>217</v>
      </c>
      <c r="V79">
        <f t="shared" si="4"/>
        <v>41</v>
      </c>
      <c r="W79">
        <f t="shared" si="5"/>
        <v>491</v>
      </c>
      <c r="X79">
        <f t="shared" si="6"/>
        <v>5.8571428571428568</v>
      </c>
      <c r="Y79">
        <f t="shared" si="7"/>
        <v>70.142857142857139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14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147</v>
      </c>
      <c r="AN79" s="1">
        <v>0</v>
      </c>
      <c r="AO79" s="1">
        <v>0</v>
      </c>
      <c r="AP79" s="1">
        <v>26</v>
      </c>
      <c r="AQ79" s="1">
        <v>1</v>
      </c>
      <c r="AR79" s="1">
        <v>3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4</v>
      </c>
      <c r="BA79" s="1">
        <v>0</v>
      </c>
      <c r="BB79" s="1">
        <v>0</v>
      </c>
      <c r="BC79" s="1">
        <v>0</v>
      </c>
      <c r="BD79" s="1">
        <v>0</v>
      </c>
      <c r="BE79" s="1">
        <v>8</v>
      </c>
      <c r="BF79" s="1">
        <v>0</v>
      </c>
      <c r="BG79" s="1">
        <v>1</v>
      </c>
      <c r="BH79" s="1">
        <v>0</v>
      </c>
      <c r="BI79" s="1">
        <v>0</v>
      </c>
      <c r="BJ79" s="1">
        <v>0</v>
      </c>
      <c r="BK79" s="1">
        <v>0</v>
      </c>
      <c r="BL79" s="1">
        <v>12</v>
      </c>
      <c r="BM79" s="1">
        <v>0</v>
      </c>
      <c r="BN79" s="1">
        <v>3</v>
      </c>
      <c r="BO79" s="1">
        <v>5</v>
      </c>
      <c r="BP79" s="1">
        <v>0</v>
      </c>
      <c r="BQ79" s="1">
        <v>1</v>
      </c>
      <c r="BR79" s="1">
        <v>0</v>
      </c>
      <c r="BS79" s="1">
        <v>38</v>
      </c>
      <c r="BT79" s="1">
        <v>1</v>
      </c>
      <c r="BU79" s="1">
        <v>0</v>
      </c>
      <c r="BV79" s="1">
        <v>0</v>
      </c>
      <c r="BW79" s="1">
        <v>0</v>
      </c>
      <c r="BX79" s="1">
        <v>0</v>
      </c>
      <c r="BY79" s="1">
        <v>5</v>
      </c>
      <c r="BZ79" s="1">
        <v>30</v>
      </c>
      <c r="CA79" s="1">
        <v>3</v>
      </c>
      <c r="CB79" s="1">
        <v>1</v>
      </c>
      <c r="CC79" s="1">
        <v>0</v>
      </c>
      <c r="CD79" s="1">
        <v>71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1</v>
      </c>
      <c r="CM79" s="1">
        <v>1</v>
      </c>
      <c r="CN79" s="1">
        <v>0</v>
      </c>
      <c r="CO79" s="1">
        <v>0</v>
      </c>
      <c r="CP79" s="1">
        <v>0</v>
      </c>
      <c r="CQ79" s="1">
        <v>0</v>
      </c>
      <c r="CR79" s="1">
        <v>2</v>
      </c>
      <c r="CS79" s="1">
        <v>0</v>
      </c>
      <c r="CT79" s="1">
        <v>0</v>
      </c>
      <c r="CU79" s="1">
        <v>0</v>
      </c>
      <c r="CV79" s="1">
        <v>39</v>
      </c>
      <c r="CW79" s="1">
        <v>1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1</v>
      </c>
      <c r="EA79" s="1">
        <v>0</v>
      </c>
      <c r="EB79" s="1">
        <v>1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16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1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1</v>
      </c>
      <c r="FH79" s="1">
        <v>4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1</v>
      </c>
      <c r="FZ79" s="1">
        <v>0</v>
      </c>
      <c r="GA79" s="1">
        <v>1</v>
      </c>
      <c r="GB79" s="1">
        <v>2</v>
      </c>
      <c r="GC79" s="1">
        <v>0</v>
      </c>
      <c r="GD79" s="1">
        <v>0</v>
      </c>
      <c r="GE79" s="1">
        <v>3</v>
      </c>
      <c r="GF79" s="1">
        <v>1</v>
      </c>
      <c r="GG79" s="1">
        <v>0</v>
      </c>
      <c r="GH79" s="1">
        <v>1</v>
      </c>
      <c r="GI79" s="1">
        <v>0</v>
      </c>
      <c r="GJ79" s="1">
        <v>6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18</v>
      </c>
      <c r="IG79">
        <v>0</v>
      </c>
      <c r="IH79">
        <v>14</v>
      </c>
    </row>
    <row r="80" spans="1:242" x14ac:dyDescent="0.25">
      <c r="A80">
        <v>15770</v>
      </c>
      <c r="B80">
        <v>22</v>
      </c>
      <c r="C80">
        <v>7</v>
      </c>
      <c r="D80" t="s">
        <v>219</v>
      </c>
      <c r="E80" t="s">
        <v>220</v>
      </c>
      <c r="F80">
        <v>5</v>
      </c>
      <c r="G80">
        <v>24.968250000000001</v>
      </c>
      <c r="H80">
        <v>10.025916670000001</v>
      </c>
      <c r="I80">
        <v>14.56617956</v>
      </c>
      <c r="J80">
        <v>97.866666670000001</v>
      </c>
      <c r="K80">
        <v>40.441666669999996</v>
      </c>
      <c r="L80">
        <v>85.055654759999996</v>
      </c>
      <c r="M80">
        <v>11.69968122</v>
      </c>
      <c r="N80">
        <v>-2.7</v>
      </c>
      <c r="O80">
        <v>1.34</v>
      </c>
      <c r="P80" t="s">
        <v>217</v>
      </c>
      <c r="Q80" t="s">
        <v>216</v>
      </c>
      <c r="R80" t="s">
        <v>216</v>
      </c>
      <c r="S80" t="s">
        <v>217</v>
      </c>
      <c r="T80" t="s">
        <v>217</v>
      </c>
      <c r="U80" t="s">
        <v>217</v>
      </c>
      <c r="V80">
        <f t="shared" si="4"/>
        <v>21</v>
      </c>
      <c r="W80">
        <f t="shared" si="5"/>
        <v>50</v>
      </c>
      <c r="X80">
        <f t="shared" si="6"/>
        <v>3</v>
      </c>
      <c r="Y80">
        <f t="shared" si="7"/>
        <v>7.1428571428571432</v>
      </c>
      <c r="Z80" s="1">
        <v>0</v>
      </c>
      <c r="AA80" s="1">
        <v>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2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6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2</v>
      </c>
      <c r="BF80" s="1">
        <v>1</v>
      </c>
      <c r="BG80" s="1">
        <v>1</v>
      </c>
      <c r="BH80" s="1">
        <v>0</v>
      </c>
      <c r="BI80" s="1">
        <v>0</v>
      </c>
      <c r="BJ80" s="1">
        <v>0</v>
      </c>
      <c r="BK80" s="1">
        <v>0</v>
      </c>
      <c r="BL80" s="1">
        <v>3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8</v>
      </c>
      <c r="BZ80" s="1">
        <v>5</v>
      </c>
      <c r="CA80" s="1">
        <v>2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1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4</v>
      </c>
      <c r="CU80" s="1">
        <v>0</v>
      </c>
      <c r="CV80" s="1">
        <v>1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1</v>
      </c>
      <c r="GC80" s="1">
        <v>0</v>
      </c>
      <c r="GD80" s="1">
        <v>0</v>
      </c>
      <c r="GE80" s="1">
        <v>0</v>
      </c>
      <c r="GF80" s="1">
        <v>4</v>
      </c>
      <c r="GG80" s="1">
        <v>0</v>
      </c>
      <c r="GH80" s="1">
        <v>0</v>
      </c>
      <c r="GI80" s="1">
        <v>0</v>
      </c>
      <c r="GJ80" s="1">
        <v>2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>
        <v>0</v>
      </c>
      <c r="GT80">
        <v>0</v>
      </c>
      <c r="GU80">
        <v>0</v>
      </c>
      <c r="GV80">
        <v>1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2</v>
      </c>
    </row>
    <row r="81" spans="1:242" x14ac:dyDescent="0.25">
      <c r="A81">
        <v>15775</v>
      </c>
      <c r="B81">
        <v>1</v>
      </c>
      <c r="C81">
        <v>7</v>
      </c>
      <c r="D81" t="s">
        <v>221</v>
      </c>
      <c r="E81" t="s">
        <v>220</v>
      </c>
      <c r="F81">
        <v>9</v>
      </c>
      <c r="G81">
        <v>34.895583330000001</v>
      </c>
      <c r="H81">
        <v>7.6652500000000003</v>
      </c>
      <c r="I81">
        <v>16.694556049999999</v>
      </c>
      <c r="J81">
        <v>98.125</v>
      </c>
      <c r="K81">
        <v>20.541666670000001</v>
      </c>
      <c r="L81">
        <v>63.554067459999999</v>
      </c>
      <c r="M81">
        <v>12.93203974</v>
      </c>
      <c r="N81">
        <v>-0.60099999999999998</v>
      </c>
      <c r="O81">
        <v>-0.55600000000000005</v>
      </c>
      <c r="P81" t="s">
        <v>216</v>
      </c>
      <c r="Q81" t="s">
        <v>216</v>
      </c>
      <c r="R81" t="s">
        <v>216</v>
      </c>
      <c r="S81" t="s">
        <v>216</v>
      </c>
      <c r="T81" t="s">
        <v>216</v>
      </c>
      <c r="U81" t="s">
        <v>216</v>
      </c>
      <c r="V81">
        <f t="shared" si="4"/>
        <v>28</v>
      </c>
      <c r="W81">
        <f t="shared" si="5"/>
        <v>78</v>
      </c>
      <c r="X81">
        <f t="shared" si="6"/>
        <v>4</v>
      </c>
      <c r="Y81">
        <f t="shared" si="7"/>
        <v>11.142857142857142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3</v>
      </c>
      <c r="AN81" s="1">
        <v>0</v>
      </c>
      <c r="AO81" s="1">
        <v>0</v>
      </c>
      <c r="AP81" s="1">
        <v>1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3</v>
      </c>
      <c r="BH81" s="1">
        <v>0</v>
      </c>
      <c r="BI81" s="1">
        <v>0</v>
      </c>
      <c r="BJ81" s="1">
        <v>0</v>
      </c>
      <c r="BK81" s="1">
        <v>0</v>
      </c>
      <c r="BL81" s="1">
        <v>3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</v>
      </c>
      <c r="BX81" s="1">
        <v>0</v>
      </c>
      <c r="BY81" s="1">
        <v>0</v>
      </c>
      <c r="BZ81" s="1">
        <v>4</v>
      </c>
      <c r="CA81" s="1">
        <v>1</v>
      </c>
      <c r="CB81" s="1">
        <v>2</v>
      </c>
      <c r="CC81" s="1">
        <v>0</v>
      </c>
      <c r="CD81" s="1">
        <v>4</v>
      </c>
      <c r="CE81" s="1">
        <v>0</v>
      </c>
      <c r="CF81" s="1">
        <v>0</v>
      </c>
      <c r="CG81" s="1">
        <v>0</v>
      </c>
      <c r="CH81" s="1">
        <v>0</v>
      </c>
      <c r="CI81" s="1">
        <v>1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1</v>
      </c>
      <c r="CS81" s="1">
        <v>0</v>
      </c>
      <c r="CT81" s="1">
        <v>0</v>
      </c>
      <c r="CU81" s="1">
        <v>0</v>
      </c>
      <c r="CV81" s="1">
        <v>5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9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1</v>
      </c>
      <c r="DQ81" s="1">
        <v>0</v>
      </c>
      <c r="DR81" s="1">
        <v>0</v>
      </c>
      <c r="DS81" s="1">
        <v>1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12</v>
      </c>
      <c r="EA81" s="1">
        <v>0</v>
      </c>
      <c r="EB81" s="1">
        <v>2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2</v>
      </c>
      <c r="EK81" s="1">
        <v>1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1</v>
      </c>
      <c r="EU81" s="1">
        <v>2</v>
      </c>
      <c r="EV81" s="1">
        <v>0</v>
      </c>
      <c r="EW81" s="1">
        <v>0</v>
      </c>
      <c r="EX81" s="1">
        <v>0</v>
      </c>
      <c r="EY81" s="1">
        <v>0</v>
      </c>
      <c r="EZ81" s="1">
        <v>2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3</v>
      </c>
      <c r="FI81" s="1">
        <v>0</v>
      </c>
      <c r="FJ81" s="1">
        <v>0</v>
      </c>
      <c r="FK81" s="1">
        <v>0</v>
      </c>
      <c r="FL81" s="1">
        <v>0</v>
      </c>
      <c r="FM81" s="1">
        <v>5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1</v>
      </c>
      <c r="GQ81" s="1">
        <v>0</v>
      </c>
      <c r="GR81" s="1">
        <v>0</v>
      </c>
      <c r="GS81">
        <v>0</v>
      </c>
      <c r="GT81">
        <v>0</v>
      </c>
      <c r="GU81">
        <v>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5</v>
      </c>
    </row>
    <row r="82" spans="1:242" x14ac:dyDescent="0.25">
      <c r="A82">
        <v>15778</v>
      </c>
      <c r="B82">
        <v>18</v>
      </c>
      <c r="C82">
        <v>7</v>
      </c>
      <c r="D82" t="s">
        <v>219</v>
      </c>
      <c r="E82" t="s">
        <v>220</v>
      </c>
      <c r="F82">
        <v>9</v>
      </c>
      <c r="G82">
        <v>31.13175</v>
      </c>
      <c r="H82">
        <v>6.9330833329999999</v>
      </c>
      <c r="I82">
        <v>16.700184029999999</v>
      </c>
      <c r="J82">
        <v>98.674999999999997</v>
      </c>
      <c r="K82">
        <v>13.875</v>
      </c>
      <c r="L82">
        <v>66.096081350000006</v>
      </c>
      <c r="M82">
        <v>11.94843285</v>
      </c>
      <c r="N82">
        <v>-1.27</v>
      </c>
      <c r="O82">
        <v>-0.94599999999999995</v>
      </c>
      <c r="P82" t="s">
        <v>216</v>
      </c>
      <c r="Q82" t="s">
        <v>217</v>
      </c>
      <c r="R82" t="s">
        <v>217</v>
      </c>
      <c r="S82" t="s">
        <v>217</v>
      </c>
      <c r="T82" t="s">
        <v>217</v>
      </c>
      <c r="U82" t="s">
        <v>217</v>
      </c>
      <c r="V82">
        <f t="shared" si="4"/>
        <v>31</v>
      </c>
      <c r="W82">
        <f t="shared" si="5"/>
        <v>508</v>
      </c>
      <c r="X82">
        <f t="shared" si="6"/>
        <v>4.4285714285714288</v>
      </c>
      <c r="Y82">
        <f t="shared" si="7"/>
        <v>72.571428571428569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3</v>
      </c>
      <c r="AJ82" s="1">
        <v>0</v>
      </c>
      <c r="AK82" s="1">
        <v>1</v>
      </c>
      <c r="AL82" s="1">
        <v>0</v>
      </c>
      <c r="AM82" s="1">
        <v>201</v>
      </c>
      <c r="AN82" s="1">
        <v>3</v>
      </c>
      <c r="AO82" s="1">
        <v>0</v>
      </c>
      <c r="AP82" s="1">
        <v>28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2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2</v>
      </c>
      <c r="BH82" s="1">
        <v>0</v>
      </c>
      <c r="BI82" s="1">
        <v>0</v>
      </c>
      <c r="BJ82" s="1">
        <v>0</v>
      </c>
      <c r="BK82" s="1">
        <v>0</v>
      </c>
      <c r="BL82" s="1">
        <v>14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38</v>
      </c>
      <c r="CA82" s="1">
        <v>3</v>
      </c>
      <c r="CB82" s="1">
        <v>1</v>
      </c>
      <c r="CC82" s="1">
        <v>0</v>
      </c>
      <c r="CD82" s="1">
        <v>95</v>
      </c>
      <c r="CE82" s="1">
        <v>0</v>
      </c>
      <c r="CF82" s="1">
        <v>0</v>
      </c>
      <c r="CG82" s="1">
        <v>0</v>
      </c>
      <c r="CH82" s="1">
        <v>0</v>
      </c>
      <c r="CI82" s="1">
        <v>7</v>
      </c>
      <c r="CJ82" s="1">
        <v>0</v>
      </c>
      <c r="CK82" s="1">
        <v>1</v>
      </c>
      <c r="CL82" s="1">
        <v>0</v>
      </c>
      <c r="CM82" s="1">
        <v>0</v>
      </c>
      <c r="CN82" s="1">
        <v>2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35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2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6</v>
      </c>
      <c r="EA82" s="1">
        <v>0</v>
      </c>
      <c r="EB82" s="1">
        <v>1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1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1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1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2</v>
      </c>
      <c r="FZ82" s="1">
        <v>1</v>
      </c>
      <c r="GA82" s="1">
        <v>2</v>
      </c>
      <c r="GB82" s="1">
        <v>3</v>
      </c>
      <c r="GC82" s="1">
        <v>0</v>
      </c>
      <c r="GD82" s="1">
        <v>0</v>
      </c>
      <c r="GE82" s="1">
        <v>0</v>
      </c>
      <c r="GF82" s="1">
        <v>1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1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48</v>
      </c>
    </row>
    <row r="83" spans="1:242" x14ac:dyDescent="0.25">
      <c r="A83">
        <v>15784</v>
      </c>
      <c r="B83">
        <v>12</v>
      </c>
      <c r="C83">
        <v>7</v>
      </c>
      <c r="D83" t="s">
        <v>219</v>
      </c>
      <c r="E83" t="s">
        <v>220</v>
      </c>
      <c r="F83">
        <v>8</v>
      </c>
      <c r="G83">
        <v>32.547499999999999</v>
      </c>
      <c r="H83">
        <v>8.9053333329999997</v>
      </c>
      <c r="I83">
        <v>18.177525790000001</v>
      </c>
      <c r="J83">
        <v>97.483333329999994</v>
      </c>
      <c r="K83">
        <v>11.991666670000001</v>
      </c>
      <c r="L83">
        <v>61.80853175</v>
      </c>
      <c r="M83">
        <v>11.94859615</v>
      </c>
      <c r="N83">
        <v>-0.49199999999999999</v>
      </c>
      <c r="O83">
        <v>-1</v>
      </c>
      <c r="P83" t="s">
        <v>217</v>
      </c>
      <c r="Q83" t="s">
        <v>217</v>
      </c>
      <c r="R83" t="s">
        <v>217</v>
      </c>
      <c r="S83" t="s">
        <v>217</v>
      </c>
      <c r="T83" t="s">
        <v>217</v>
      </c>
      <c r="U83" t="s">
        <v>217</v>
      </c>
      <c r="V83">
        <f t="shared" si="4"/>
        <v>28</v>
      </c>
      <c r="W83">
        <f t="shared" si="5"/>
        <v>187</v>
      </c>
      <c r="X83">
        <f t="shared" si="6"/>
        <v>4</v>
      </c>
      <c r="Y83">
        <f t="shared" si="7"/>
        <v>26.714285714285715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22</v>
      </c>
      <c r="AN83" s="1">
        <v>0</v>
      </c>
      <c r="AO83" s="1">
        <v>0</v>
      </c>
      <c r="AP83" s="1">
        <v>18</v>
      </c>
      <c r="AQ83" s="1">
        <v>0</v>
      </c>
      <c r="AR83" s="1">
        <v>0</v>
      </c>
      <c r="AS83" s="1">
        <v>0</v>
      </c>
      <c r="AT83" s="1">
        <v>2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5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1</v>
      </c>
      <c r="BZ83" s="1">
        <v>26</v>
      </c>
      <c r="CA83" s="1">
        <v>7</v>
      </c>
      <c r="CB83" s="1">
        <v>1</v>
      </c>
      <c r="CC83" s="1">
        <v>0</v>
      </c>
      <c r="CD83" s="1">
        <v>34</v>
      </c>
      <c r="CE83" s="1">
        <v>0</v>
      </c>
      <c r="CF83" s="1">
        <v>0</v>
      </c>
      <c r="CG83" s="1">
        <v>1</v>
      </c>
      <c r="CH83" s="1">
        <v>0</v>
      </c>
      <c r="CI83" s="1">
        <v>0</v>
      </c>
      <c r="CJ83" s="1">
        <v>0</v>
      </c>
      <c r="CK83" s="1">
        <v>1</v>
      </c>
      <c r="CL83" s="1">
        <v>0</v>
      </c>
      <c r="CM83" s="1">
        <v>24</v>
      </c>
      <c r="CN83" s="1">
        <v>1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8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2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3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1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1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1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1</v>
      </c>
      <c r="FZ83" s="1">
        <v>0</v>
      </c>
      <c r="GA83" s="1">
        <v>0</v>
      </c>
      <c r="GB83" s="1">
        <v>3</v>
      </c>
      <c r="GC83" s="1">
        <v>0</v>
      </c>
      <c r="GD83" s="1">
        <v>0</v>
      </c>
      <c r="GE83" s="1">
        <v>1</v>
      </c>
      <c r="GF83" s="1">
        <v>2</v>
      </c>
      <c r="GG83" s="1">
        <v>0</v>
      </c>
      <c r="GH83" s="1">
        <v>0</v>
      </c>
      <c r="GI83" s="1">
        <v>0</v>
      </c>
      <c r="GJ83" s="1">
        <v>1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17</v>
      </c>
    </row>
    <row r="84" spans="1:242" x14ac:dyDescent="0.25">
      <c r="A84">
        <v>15790</v>
      </c>
      <c r="B84">
        <v>26</v>
      </c>
      <c r="C84">
        <v>4</v>
      </c>
      <c r="D84" t="s">
        <v>219</v>
      </c>
      <c r="E84" t="s">
        <v>220</v>
      </c>
      <c r="F84">
        <v>9</v>
      </c>
      <c r="G84">
        <v>29.478833330000001</v>
      </c>
      <c r="H84">
        <v>9.1797500000000003</v>
      </c>
      <c r="I84">
        <v>17.434465769999999</v>
      </c>
      <c r="J84">
        <v>97.825000000000003</v>
      </c>
      <c r="K84">
        <v>13.6</v>
      </c>
      <c r="L84">
        <v>63.892460319999998</v>
      </c>
      <c r="M84">
        <v>11.948538989999999</v>
      </c>
      <c r="N84">
        <v>-0.98299999999999998</v>
      </c>
      <c r="O84">
        <v>-0.78600000000000003</v>
      </c>
      <c r="P84" t="s">
        <v>217</v>
      </c>
      <c r="Q84" t="s">
        <v>217</v>
      </c>
      <c r="R84" t="s">
        <v>217</v>
      </c>
      <c r="S84" t="s">
        <v>216</v>
      </c>
      <c r="T84" t="s">
        <v>216</v>
      </c>
      <c r="U84" t="s">
        <v>217</v>
      </c>
      <c r="V84">
        <f t="shared" si="4"/>
        <v>23</v>
      </c>
      <c r="W84">
        <f t="shared" si="5"/>
        <v>193</v>
      </c>
      <c r="X84">
        <f t="shared" si="6"/>
        <v>5.75</v>
      </c>
      <c r="Y84">
        <f t="shared" si="7"/>
        <v>48.25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26</v>
      </c>
      <c r="AN84" s="1">
        <v>13</v>
      </c>
      <c r="AO84" s="1">
        <v>0</v>
      </c>
      <c r="AP84" s="1">
        <v>18</v>
      </c>
      <c r="AQ84" s="1">
        <v>1</v>
      </c>
      <c r="AR84" s="1">
        <v>50</v>
      </c>
      <c r="AS84" s="1">
        <v>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3</v>
      </c>
      <c r="BZ84" s="1">
        <v>22</v>
      </c>
      <c r="CA84" s="1">
        <v>1</v>
      </c>
      <c r="CB84" s="1">
        <v>1</v>
      </c>
      <c r="CC84" s="1">
        <v>0</v>
      </c>
      <c r="CD84" s="1">
        <v>28</v>
      </c>
      <c r="CE84" s="1">
        <v>0</v>
      </c>
      <c r="CF84" s="1">
        <v>0</v>
      </c>
      <c r="CG84" s="1">
        <v>0</v>
      </c>
      <c r="CH84" s="1">
        <v>0</v>
      </c>
      <c r="CI84" s="1">
        <v>1</v>
      </c>
      <c r="CJ84" s="1">
        <v>0</v>
      </c>
      <c r="CK84" s="1">
        <v>0</v>
      </c>
      <c r="CL84" s="1">
        <v>0</v>
      </c>
      <c r="CM84" s="1">
        <v>0</v>
      </c>
      <c r="CN84" s="1">
        <v>1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10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1</v>
      </c>
      <c r="DP84" s="1">
        <v>1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4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2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2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2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1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2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2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</row>
    <row r="85" spans="1:242" x14ac:dyDescent="0.25">
      <c r="A85">
        <v>15796</v>
      </c>
      <c r="B85">
        <v>11</v>
      </c>
      <c r="C85">
        <v>7</v>
      </c>
      <c r="D85" t="s">
        <v>219</v>
      </c>
      <c r="E85" t="s">
        <v>220</v>
      </c>
      <c r="F85">
        <v>8</v>
      </c>
      <c r="G85">
        <v>27.390666670000002</v>
      </c>
      <c r="H85">
        <v>11.40433333</v>
      </c>
      <c r="I85">
        <v>18.05974355</v>
      </c>
      <c r="J85">
        <v>96.708333330000002</v>
      </c>
      <c r="K85">
        <v>12.824999999999999</v>
      </c>
      <c r="L85">
        <v>58.166468250000001</v>
      </c>
      <c r="M85">
        <v>11.9484572</v>
      </c>
      <c r="N85">
        <v>-0.63200000000000001</v>
      </c>
      <c r="O85">
        <v>-0.81399999999999995</v>
      </c>
      <c r="P85" t="s">
        <v>217</v>
      </c>
      <c r="Q85" t="s">
        <v>216</v>
      </c>
      <c r="R85" t="s">
        <v>217</v>
      </c>
      <c r="S85" t="s">
        <v>217</v>
      </c>
      <c r="T85" t="s">
        <v>217</v>
      </c>
      <c r="U85" t="s">
        <v>217</v>
      </c>
      <c r="V85">
        <f t="shared" si="4"/>
        <v>35</v>
      </c>
      <c r="W85">
        <f t="shared" si="5"/>
        <v>165</v>
      </c>
      <c r="X85">
        <f t="shared" si="6"/>
        <v>5</v>
      </c>
      <c r="Y85">
        <f t="shared" si="7"/>
        <v>23.571428571428573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1</v>
      </c>
      <c r="AJ85" s="1">
        <v>0</v>
      </c>
      <c r="AK85" s="1">
        <v>3</v>
      </c>
      <c r="AL85" s="1">
        <v>0</v>
      </c>
      <c r="AM85" s="1">
        <v>6</v>
      </c>
      <c r="AN85" s="1">
        <v>0</v>
      </c>
      <c r="AO85" s="1">
        <v>0</v>
      </c>
      <c r="AP85" s="1">
        <v>1</v>
      </c>
      <c r="AQ85" s="1">
        <v>0</v>
      </c>
      <c r="AR85" s="1">
        <v>1</v>
      </c>
      <c r="AS85" s="1">
        <v>3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2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1</v>
      </c>
      <c r="BH85" s="1">
        <v>0</v>
      </c>
      <c r="BI85" s="1">
        <v>0</v>
      </c>
      <c r="BJ85" s="1">
        <v>0</v>
      </c>
      <c r="BK85" s="1">
        <v>0</v>
      </c>
      <c r="BL85" s="1">
        <v>6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1</v>
      </c>
      <c r="CA85" s="1">
        <v>53</v>
      </c>
      <c r="CB85" s="1">
        <v>0</v>
      </c>
      <c r="CC85" s="1">
        <v>0</v>
      </c>
      <c r="CD85" s="1">
        <v>38</v>
      </c>
      <c r="CE85" s="1">
        <v>0</v>
      </c>
      <c r="CF85" s="1">
        <v>0</v>
      </c>
      <c r="CG85" s="1">
        <v>0</v>
      </c>
      <c r="CH85" s="1">
        <v>0</v>
      </c>
      <c r="CI85" s="1">
        <v>1</v>
      </c>
      <c r="CJ85" s="1">
        <v>0</v>
      </c>
      <c r="CK85" s="1">
        <v>4</v>
      </c>
      <c r="CL85" s="1">
        <v>1</v>
      </c>
      <c r="CM85" s="1">
        <v>2</v>
      </c>
      <c r="CN85" s="1">
        <v>2</v>
      </c>
      <c r="CO85" s="1">
        <v>3</v>
      </c>
      <c r="CP85" s="1">
        <v>0</v>
      </c>
      <c r="CQ85" s="1">
        <v>0</v>
      </c>
      <c r="CR85" s="1">
        <v>0</v>
      </c>
      <c r="CS85" s="1">
        <v>0</v>
      </c>
      <c r="CT85" s="1">
        <v>1</v>
      </c>
      <c r="CU85" s="1">
        <v>0</v>
      </c>
      <c r="CV85" s="1">
        <v>9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1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1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1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1</v>
      </c>
      <c r="GC85" s="1">
        <v>1</v>
      </c>
      <c r="GD85" s="1">
        <v>0</v>
      </c>
      <c r="GE85" s="1">
        <v>3</v>
      </c>
      <c r="GF85" s="1">
        <v>0</v>
      </c>
      <c r="GG85" s="1">
        <v>0</v>
      </c>
      <c r="GH85" s="1">
        <v>0</v>
      </c>
      <c r="GI85" s="1">
        <v>0</v>
      </c>
      <c r="GJ85" s="1">
        <v>2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>
        <v>0</v>
      </c>
      <c r="GT85">
        <v>1</v>
      </c>
      <c r="GU85">
        <v>0</v>
      </c>
      <c r="GV85">
        <v>8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1</v>
      </c>
      <c r="IG85">
        <v>1</v>
      </c>
      <c r="IH85">
        <v>2</v>
      </c>
    </row>
    <row r="86" spans="1:242" x14ac:dyDescent="0.25">
      <c r="A86">
        <v>15801</v>
      </c>
      <c r="B86">
        <v>16</v>
      </c>
      <c r="C86">
        <v>7</v>
      </c>
      <c r="D86" t="s">
        <v>219</v>
      </c>
      <c r="E86" t="s">
        <v>220</v>
      </c>
      <c r="F86">
        <v>8</v>
      </c>
      <c r="G86">
        <v>30.663833329999999</v>
      </c>
      <c r="H86">
        <v>8.0594166670000007</v>
      </c>
      <c r="I86">
        <v>17.832849700000001</v>
      </c>
      <c r="J86">
        <v>98.491666670000001</v>
      </c>
      <c r="K86">
        <v>13.525</v>
      </c>
      <c r="L86">
        <v>61.097222219999999</v>
      </c>
      <c r="M86">
        <v>11.94833502</v>
      </c>
      <c r="N86">
        <v>-0.91500000000000004</v>
      </c>
      <c r="O86">
        <v>-0.98499999999999999</v>
      </c>
      <c r="P86" t="s">
        <v>217</v>
      </c>
      <c r="Q86" t="s">
        <v>217</v>
      </c>
      <c r="R86" t="s">
        <v>217</v>
      </c>
      <c r="S86" t="s">
        <v>216</v>
      </c>
      <c r="T86" t="s">
        <v>216</v>
      </c>
      <c r="U86" t="s">
        <v>217</v>
      </c>
      <c r="V86">
        <f t="shared" si="4"/>
        <v>30</v>
      </c>
      <c r="W86">
        <f t="shared" si="5"/>
        <v>176</v>
      </c>
      <c r="X86">
        <f t="shared" si="6"/>
        <v>4.2857142857142856</v>
      </c>
      <c r="Y86">
        <f t="shared" si="7"/>
        <v>25.142857142857142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5</v>
      </c>
      <c r="AG86" s="1">
        <v>0</v>
      </c>
      <c r="AH86" s="1">
        <v>6</v>
      </c>
      <c r="AI86" s="1">
        <v>1</v>
      </c>
      <c r="AJ86" s="1">
        <v>0</v>
      </c>
      <c r="AK86" s="1">
        <v>0</v>
      </c>
      <c r="AL86" s="1">
        <v>0</v>
      </c>
      <c r="AM86" s="1">
        <v>16</v>
      </c>
      <c r="AN86" s="1">
        <v>0</v>
      </c>
      <c r="AO86" s="1">
        <v>0</v>
      </c>
      <c r="AP86" s="1">
        <v>5</v>
      </c>
      <c r="AQ86" s="1">
        <v>1</v>
      </c>
      <c r="AR86" s="1">
        <v>0</v>
      </c>
      <c r="AS86" s="1">
        <v>1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1</v>
      </c>
      <c r="BB86" s="1">
        <v>0</v>
      </c>
      <c r="BC86" s="1">
        <v>0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5</v>
      </c>
      <c r="BM86" s="1">
        <v>0</v>
      </c>
      <c r="BN86" s="1">
        <v>0</v>
      </c>
      <c r="BO86" s="1">
        <v>5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2</v>
      </c>
      <c r="BV86" s="1">
        <v>0</v>
      </c>
      <c r="BW86" s="1">
        <v>0</v>
      </c>
      <c r="BX86" s="1">
        <v>0</v>
      </c>
      <c r="BY86" s="1">
        <v>3</v>
      </c>
      <c r="BZ86" s="1">
        <v>30</v>
      </c>
      <c r="CA86" s="1">
        <v>15</v>
      </c>
      <c r="CB86" s="1">
        <v>1</v>
      </c>
      <c r="CC86" s="1">
        <v>0</v>
      </c>
      <c r="CD86" s="1">
        <v>35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1</v>
      </c>
      <c r="CL86" s="1">
        <v>0</v>
      </c>
      <c r="CM86" s="1">
        <v>8</v>
      </c>
      <c r="CN86" s="1">
        <v>1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7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6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1</v>
      </c>
      <c r="FD86" s="1">
        <v>0</v>
      </c>
      <c r="FE86" s="1">
        <v>0</v>
      </c>
      <c r="FF86" s="1">
        <v>0</v>
      </c>
      <c r="FG86" s="1">
        <v>0</v>
      </c>
      <c r="FH86" s="1">
        <v>1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1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1</v>
      </c>
      <c r="GC86" s="1">
        <v>0</v>
      </c>
      <c r="GD86" s="1">
        <v>0</v>
      </c>
      <c r="GE86" s="1">
        <v>1</v>
      </c>
      <c r="GF86" s="1">
        <v>1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1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13</v>
      </c>
    </row>
    <row r="87" spans="1:242" x14ac:dyDescent="0.25">
      <c r="A87">
        <v>15807</v>
      </c>
      <c r="B87">
        <v>19</v>
      </c>
      <c r="C87">
        <v>7</v>
      </c>
      <c r="D87" t="s">
        <v>219</v>
      </c>
      <c r="E87" t="s">
        <v>220</v>
      </c>
      <c r="F87">
        <v>9</v>
      </c>
      <c r="G87">
        <v>22.54516667</v>
      </c>
      <c r="H87">
        <v>9.7491666670000008</v>
      </c>
      <c r="I87">
        <v>14.9570501</v>
      </c>
      <c r="J87">
        <v>100</v>
      </c>
      <c r="K87">
        <v>47.424999999999997</v>
      </c>
      <c r="L87">
        <v>89.762996029999996</v>
      </c>
      <c r="M87">
        <v>11.6998979</v>
      </c>
      <c r="N87">
        <v>-3.36</v>
      </c>
      <c r="O87">
        <v>2.02</v>
      </c>
      <c r="P87" t="s">
        <v>217</v>
      </c>
      <c r="Q87" t="s">
        <v>216</v>
      </c>
      <c r="R87" t="s">
        <v>216</v>
      </c>
      <c r="S87" t="s">
        <v>216</v>
      </c>
      <c r="T87" t="s">
        <v>216</v>
      </c>
      <c r="U87" t="s">
        <v>216</v>
      </c>
      <c r="V87">
        <f t="shared" si="4"/>
        <v>34</v>
      </c>
      <c r="W87">
        <f t="shared" si="5"/>
        <v>403</v>
      </c>
      <c r="X87">
        <f t="shared" si="6"/>
        <v>4.8571428571428568</v>
      </c>
      <c r="Y87">
        <f t="shared" si="7"/>
        <v>57.571428571428569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3</v>
      </c>
      <c r="AG87" s="1">
        <v>0</v>
      </c>
      <c r="AH87" s="1">
        <v>1</v>
      </c>
      <c r="AI87" s="1">
        <v>1</v>
      </c>
      <c r="AJ87" s="1">
        <v>0</v>
      </c>
      <c r="AK87" s="1">
        <v>0</v>
      </c>
      <c r="AL87" s="1">
        <v>0</v>
      </c>
      <c r="AM87" s="1">
        <v>39</v>
      </c>
      <c r="AN87" s="1">
        <v>1</v>
      </c>
      <c r="AO87" s="1">
        <v>1</v>
      </c>
      <c r="AP87" s="1">
        <v>5</v>
      </c>
      <c r="AQ87" s="1">
        <v>0</v>
      </c>
      <c r="AR87" s="1">
        <v>0</v>
      </c>
      <c r="AS87" s="1">
        <v>11</v>
      </c>
      <c r="AT87" s="1">
        <v>1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1</v>
      </c>
      <c r="BH87" s="1">
        <v>0</v>
      </c>
      <c r="BI87" s="1">
        <v>0</v>
      </c>
      <c r="BJ87" s="1">
        <v>0</v>
      </c>
      <c r="BK87" s="1">
        <v>0</v>
      </c>
      <c r="BL87" s="1">
        <v>2</v>
      </c>
      <c r="BM87" s="1">
        <v>0</v>
      </c>
      <c r="BN87" s="1">
        <v>0</v>
      </c>
      <c r="BO87" s="1">
        <v>1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1</v>
      </c>
      <c r="BX87" s="1">
        <v>0</v>
      </c>
      <c r="BY87" s="1">
        <v>0</v>
      </c>
      <c r="BZ87" s="1">
        <v>17</v>
      </c>
      <c r="CA87" s="1">
        <v>5</v>
      </c>
      <c r="CB87" s="1">
        <v>3</v>
      </c>
      <c r="CC87" s="1">
        <v>0</v>
      </c>
      <c r="CD87" s="1">
        <v>21</v>
      </c>
      <c r="CE87" s="1">
        <v>0</v>
      </c>
      <c r="CF87" s="1">
        <v>0</v>
      </c>
      <c r="CG87" s="1">
        <v>0</v>
      </c>
      <c r="CH87" s="1">
        <v>0</v>
      </c>
      <c r="CI87" s="1">
        <v>5</v>
      </c>
      <c r="CJ87" s="1">
        <v>0</v>
      </c>
      <c r="CK87" s="1">
        <v>0</v>
      </c>
      <c r="CL87" s="1">
        <v>0</v>
      </c>
      <c r="CM87" s="1">
        <v>2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17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2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2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5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7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1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2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4</v>
      </c>
      <c r="FZ87" s="1">
        <v>0</v>
      </c>
      <c r="GA87" s="1">
        <v>0</v>
      </c>
      <c r="GB87" s="1">
        <v>8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1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1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0</v>
      </c>
      <c r="IG87">
        <v>0</v>
      </c>
      <c r="IH87">
        <v>229</v>
      </c>
    </row>
    <row r="88" spans="1:242" x14ac:dyDescent="0.25">
      <c r="A88">
        <v>15812</v>
      </c>
      <c r="B88">
        <v>19</v>
      </c>
      <c r="C88">
        <v>7</v>
      </c>
      <c r="D88" t="s">
        <v>221</v>
      </c>
      <c r="E88" t="s">
        <v>220</v>
      </c>
      <c r="F88">
        <v>9</v>
      </c>
      <c r="G88">
        <v>33.799083330000002</v>
      </c>
      <c r="H88">
        <v>8.1386666670000007</v>
      </c>
      <c r="I88">
        <v>17.09102115</v>
      </c>
      <c r="J88">
        <v>98.241666670000001</v>
      </c>
      <c r="K88">
        <v>19.69166667</v>
      </c>
      <c r="L88">
        <v>63.565895560000001</v>
      </c>
      <c r="M88">
        <v>12.93336103</v>
      </c>
      <c r="N88">
        <v>-0.61499999999999999</v>
      </c>
      <c r="O88">
        <v>-0.497</v>
      </c>
      <c r="P88" t="s">
        <v>217</v>
      </c>
      <c r="Q88" t="s">
        <v>216</v>
      </c>
      <c r="R88" t="s">
        <v>216</v>
      </c>
      <c r="S88" t="s">
        <v>216</v>
      </c>
      <c r="T88" t="s">
        <v>216</v>
      </c>
      <c r="U88" t="s">
        <v>216</v>
      </c>
      <c r="V88">
        <f t="shared" si="4"/>
        <v>34</v>
      </c>
      <c r="W88">
        <f t="shared" si="5"/>
        <v>290</v>
      </c>
      <c r="X88">
        <f t="shared" si="6"/>
        <v>4.8571428571428568</v>
      </c>
      <c r="Y88">
        <f t="shared" si="7"/>
        <v>41.428571428571431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26</v>
      </c>
      <c r="AN88" s="1">
        <v>0</v>
      </c>
      <c r="AO88" s="1">
        <v>0</v>
      </c>
      <c r="AP88" s="1">
        <v>17</v>
      </c>
      <c r="AQ88" s="1">
        <v>0</v>
      </c>
      <c r="AR88" s="1">
        <v>0</v>
      </c>
      <c r="AS88" s="1">
        <v>2</v>
      </c>
      <c r="AT88" s="1">
        <v>0</v>
      </c>
      <c r="AU88" s="1">
        <v>0</v>
      </c>
      <c r="AV88" s="1">
        <v>0</v>
      </c>
      <c r="AW88" s="1">
        <v>0</v>
      </c>
      <c r="AX88" s="1">
        <v>2</v>
      </c>
      <c r="AY88" s="1">
        <v>0</v>
      </c>
      <c r="AZ88" s="1">
        <v>0</v>
      </c>
      <c r="BA88" s="1">
        <v>6</v>
      </c>
      <c r="BB88" s="1">
        <v>0</v>
      </c>
      <c r="BC88" s="1">
        <v>0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4</v>
      </c>
      <c r="BM88" s="1">
        <v>0</v>
      </c>
      <c r="BN88" s="1">
        <v>0</v>
      </c>
      <c r="BO88" s="1">
        <v>1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13</v>
      </c>
      <c r="CA88" s="1">
        <v>3</v>
      </c>
      <c r="CB88" s="1">
        <v>2</v>
      </c>
      <c r="CC88" s="1">
        <v>0</v>
      </c>
      <c r="CD88" s="1">
        <v>14</v>
      </c>
      <c r="CE88" s="1">
        <v>0</v>
      </c>
      <c r="CF88" s="1">
        <v>0</v>
      </c>
      <c r="CG88" s="1">
        <v>2</v>
      </c>
      <c r="CH88" s="1">
        <v>0</v>
      </c>
      <c r="CI88" s="1">
        <v>6</v>
      </c>
      <c r="CJ88" s="1">
        <v>0</v>
      </c>
      <c r="CK88" s="1">
        <v>0</v>
      </c>
      <c r="CL88" s="1">
        <v>0</v>
      </c>
      <c r="CM88" s="1">
        <v>1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1</v>
      </c>
      <c r="CU88" s="1">
        <v>0</v>
      </c>
      <c r="CV88" s="1">
        <v>31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3</v>
      </c>
      <c r="DC88" s="1">
        <v>1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11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3</v>
      </c>
      <c r="EL88" s="1">
        <v>0</v>
      </c>
      <c r="EM88" s="1">
        <v>0</v>
      </c>
      <c r="EN88" s="1">
        <v>1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2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1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1</v>
      </c>
      <c r="FU88" s="1">
        <v>0</v>
      </c>
      <c r="FV88" s="1">
        <v>0</v>
      </c>
      <c r="FW88" s="1">
        <v>0</v>
      </c>
      <c r="FX88" s="1">
        <v>0</v>
      </c>
      <c r="FY88" s="1">
        <v>1</v>
      </c>
      <c r="FZ88" s="1">
        <v>0</v>
      </c>
      <c r="GA88" s="1">
        <v>0</v>
      </c>
      <c r="GB88" s="1">
        <v>1</v>
      </c>
      <c r="GC88" s="1">
        <v>0</v>
      </c>
      <c r="GD88" s="1">
        <v>0</v>
      </c>
      <c r="GE88" s="1">
        <v>0</v>
      </c>
      <c r="GF88" s="1">
        <v>1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4</v>
      </c>
      <c r="IF88">
        <v>3</v>
      </c>
      <c r="IG88">
        <v>0</v>
      </c>
      <c r="IH88">
        <v>122</v>
      </c>
    </row>
    <row r="89" spans="1:242" x14ac:dyDescent="0.25">
      <c r="A89">
        <v>15817</v>
      </c>
      <c r="B89">
        <v>21</v>
      </c>
      <c r="C89">
        <v>7</v>
      </c>
      <c r="D89" t="s">
        <v>221</v>
      </c>
      <c r="E89" t="s">
        <v>220</v>
      </c>
      <c r="F89">
        <v>5</v>
      </c>
      <c r="G89">
        <v>32.975666670000003</v>
      </c>
      <c r="H89">
        <v>5.654833333</v>
      </c>
      <c r="I89">
        <v>16.187034229999998</v>
      </c>
      <c r="J89">
        <v>95.508333329999999</v>
      </c>
      <c r="K89">
        <v>12.5</v>
      </c>
      <c r="L89">
        <v>57.855307539999998</v>
      </c>
      <c r="M89">
        <v>12.93687987</v>
      </c>
      <c r="N89">
        <v>-0.52800000000000002</v>
      </c>
      <c r="O89">
        <v>-1.52</v>
      </c>
      <c r="P89" t="s">
        <v>217</v>
      </c>
      <c r="Q89" t="s">
        <v>217</v>
      </c>
      <c r="R89" t="s">
        <v>217</v>
      </c>
      <c r="S89" t="s">
        <v>217</v>
      </c>
      <c r="T89" t="s">
        <v>217</v>
      </c>
      <c r="U89" t="s">
        <v>217</v>
      </c>
      <c r="V89">
        <f t="shared" si="4"/>
        <v>4</v>
      </c>
      <c r="W89">
        <f t="shared" si="5"/>
        <v>109</v>
      </c>
      <c r="X89">
        <f t="shared" si="6"/>
        <v>0.5714285714285714</v>
      </c>
      <c r="Y89">
        <f t="shared" si="7"/>
        <v>15.571428571428571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101</v>
      </c>
      <c r="AN89" s="1">
        <v>0</v>
      </c>
      <c r="AO89" s="1">
        <v>0</v>
      </c>
      <c r="AP89" s="1">
        <v>5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2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1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</row>
    <row r="90" spans="1:242" x14ac:dyDescent="0.25">
      <c r="A90">
        <v>15820</v>
      </c>
      <c r="B90">
        <v>10</v>
      </c>
      <c r="C90">
        <v>7</v>
      </c>
      <c r="D90" t="s">
        <v>219</v>
      </c>
      <c r="E90" t="s">
        <v>220</v>
      </c>
      <c r="F90">
        <v>8</v>
      </c>
      <c r="G90">
        <v>34.820333329999997</v>
      </c>
      <c r="H90">
        <v>8.1095000000000006</v>
      </c>
      <c r="I90">
        <v>18.378463289999999</v>
      </c>
      <c r="J90">
        <v>96.641666670000006</v>
      </c>
      <c r="K90">
        <v>9.5583333330000002</v>
      </c>
      <c r="L90">
        <v>62.871081349999997</v>
      </c>
      <c r="M90">
        <v>11.948774050000001</v>
      </c>
      <c r="N90">
        <v>-0.217</v>
      </c>
      <c r="O90">
        <v>-1.22</v>
      </c>
      <c r="P90" t="s">
        <v>216</v>
      </c>
      <c r="Q90" t="s">
        <v>217</v>
      </c>
      <c r="R90" t="s">
        <v>217</v>
      </c>
      <c r="S90" t="s">
        <v>217</v>
      </c>
      <c r="T90" t="s">
        <v>217</v>
      </c>
      <c r="U90" t="s">
        <v>217</v>
      </c>
      <c r="V90">
        <f t="shared" si="4"/>
        <v>8</v>
      </c>
      <c r="W90">
        <f t="shared" si="5"/>
        <v>37</v>
      </c>
      <c r="X90">
        <f t="shared" si="6"/>
        <v>1.1428571428571428</v>
      </c>
      <c r="Y90">
        <f t="shared" si="7"/>
        <v>5.2857142857142856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12</v>
      </c>
      <c r="AN90" s="1">
        <v>0</v>
      </c>
      <c r="AO90" s="1">
        <v>0</v>
      </c>
      <c r="AP90" s="1">
        <v>5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12</v>
      </c>
      <c r="CA90" s="1">
        <v>0</v>
      </c>
      <c r="CB90" s="1">
        <v>0</v>
      </c>
      <c r="CC90" s="1">
        <v>0</v>
      </c>
      <c r="CD90" s="1">
        <v>3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1</v>
      </c>
      <c r="CU90" s="1">
        <v>0</v>
      </c>
      <c r="CV90" s="1">
        <v>2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1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</row>
    <row r="91" spans="1:242" x14ac:dyDescent="0.25">
      <c r="A91">
        <v>15824</v>
      </c>
      <c r="B91">
        <v>14</v>
      </c>
      <c r="C91">
        <v>7</v>
      </c>
      <c r="D91" t="s">
        <v>219</v>
      </c>
      <c r="E91" t="s">
        <v>220</v>
      </c>
      <c r="F91">
        <v>3</v>
      </c>
      <c r="G91">
        <v>31.402416670000001</v>
      </c>
      <c r="H91">
        <v>10.44275</v>
      </c>
      <c r="I91">
        <v>18.14599256</v>
      </c>
      <c r="J91">
        <v>98.266666670000006</v>
      </c>
      <c r="K91">
        <v>11.1</v>
      </c>
      <c r="L91">
        <v>56.172718250000003</v>
      </c>
      <c r="M91">
        <v>11.94842802</v>
      </c>
      <c r="N91">
        <v>-0.39</v>
      </c>
      <c r="O91">
        <v>-1.07</v>
      </c>
      <c r="P91" t="s">
        <v>217</v>
      </c>
      <c r="Q91" t="s">
        <v>217</v>
      </c>
      <c r="R91" t="s">
        <v>217</v>
      </c>
      <c r="S91" t="s">
        <v>216</v>
      </c>
      <c r="T91" t="s">
        <v>216</v>
      </c>
      <c r="U91" t="s">
        <v>217</v>
      </c>
      <c r="V91">
        <f t="shared" si="4"/>
        <v>40</v>
      </c>
      <c r="W91">
        <f t="shared" si="5"/>
        <v>309</v>
      </c>
      <c r="X91">
        <f t="shared" si="6"/>
        <v>5.7142857142857144</v>
      </c>
      <c r="Y91">
        <f t="shared" si="7"/>
        <v>44.142857142857146</v>
      </c>
      <c r="Z91" s="1">
        <v>0</v>
      </c>
      <c r="AA91" s="1">
        <v>5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4</v>
      </c>
      <c r="AI91" s="1">
        <v>0</v>
      </c>
      <c r="AJ91" s="1">
        <v>0</v>
      </c>
      <c r="AK91" s="1">
        <v>2</v>
      </c>
      <c r="AL91" s="1">
        <v>0</v>
      </c>
      <c r="AM91" s="1">
        <v>28</v>
      </c>
      <c r="AN91" s="1">
        <v>1</v>
      </c>
      <c r="AO91" s="1">
        <v>4</v>
      </c>
      <c r="AP91" s="1">
        <v>3</v>
      </c>
      <c r="AQ91" s="1">
        <v>2</v>
      </c>
      <c r="AR91" s="1">
        <v>5</v>
      </c>
      <c r="AS91" s="1">
        <v>1</v>
      </c>
      <c r="AT91" s="1">
        <v>1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1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2</v>
      </c>
      <c r="BM91" s="1">
        <v>0</v>
      </c>
      <c r="BN91" s="1">
        <v>1</v>
      </c>
      <c r="BO91" s="1">
        <v>1</v>
      </c>
      <c r="BP91" s="1">
        <v>0</v>
      </c>
      <c r="BQ91" s="1">
        <v>1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61</v>
      </c>
      <c r="BZ91" s="1">
        <v>28</v>
      </c>
      <c r="CA91" s="1">
        <v>0</v>
      </c>
      <c r="CB91" s="1">
        <v>1</v>
      </c>
      <c r="CC91" s="1">
        <v>1</v>
      </c>
      <c r="CD91" s="1">
        <v>49</v>
      </c>
      <c r="CE91" s="1">
        <v>0</v>
      </c>
      <c r="CF91" s="1">
        <v>0</v>
      </c>
      <c r="CG91" s="1">
        <v>0</v>
      </c>
      <c r="CH91" s="1">
        <v>0</v>
      </c>
      <c r="CI91" s="1">
        <v>10</v>
      </c>
      <c r="CJ91" s="1">
        <v>0</v>
      </c>
      <c r="CK91" s="1">
        <v>1</v>
      </c>
      <c r="CL91" s="1">
        <v>0</v>
      </c>
      <c r="CM91" s="1">
        <v>3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3</v>
      </c>
      <c r="CT91" s="1">
        <v>0</v>
      </c>
      <c r="CU91" s="1">
        <v>0</v>
      </c>
      <c r="CV91" s="1">
        <v>8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1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17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1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3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1</v>
      </c>
      <c r="FX91" s="1">
        <v>0</v>
      </c>
      <c r="FY91" s="1">
        <v>2</v>
      </c>
      <c r="FZ91" s="1">
        <v>0</v>
      </c>
      <c r="GA91" s="1">
        <v>0</v>
      </c>
      <c r="GB91" s="1">
        <v>5</v>
      </c>
      <c r="GC91" s="1">
        <v>0</v>
      </c>
      <c r="GD91" s="1">
        <v>0</v>
      </c>
      <c r="GE91" s="1">
        <v>1</v>
      </c>
      <c r="GF91" s="1">
        <v>0</v>
      </c>
      <c r="GG91" s="1">
        <v>2</v>
      </c>
      <c r="GH91" s="1">
        <v>28</v>
      </c>
      <c r="GI91" s="1">
        <v>2</v>
      </c>
      <c r="GJ91" s="1">
        <v>10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8</v>
      </c>
      <c r="IG91">
        <v>0</v>
      </c>
      <c r="IH91">
        <v>0</v>
      </c>
    </row>
    <row r="92" spans="1:242" x14ac:dyDescent="0.25">
      <c r="A92">
        <v>15828</v>
      </c>
      <c r="B92">
        <v>14</v>
      </c>
      <c r="C92">
        <v>7</v>
      </c>
      <c r="D92" t="s">
        <v>221</v>
      </c>
      <c r="E92" t="s">
        <v>220</v>
      </c>
      <c r="F92">
        <v>3</v>
      </c>
      <c r="G92">
        <v>34.638249999999999</v>
      </c>
      <c r="H92">
        <v>6.0724166669999997</v>
      </c>
      <c r="I92">
        <v>16.372677079999999</v>
      </c>
      <c r="J92">
        <v>95.566666670000004</v>
      </c>
      <c r="K92">
        <v>15.21666667</v>
      </c>
      <c r="L92">
        <v>58.794543650000001</v>
      </c>
      <c r="M92">
        <v>12.93395991</v>
      </c>
      <c r="N92">
        <v>-0.36399999999999999</v>
      </c>
      <c r="O92">
        <v>-1.32</v>
      </c>
      <c r="P92" t="s">
        <v>217</v>
      </c>
      <c r="Q92" t="s">
        <v>217</v>
      </c>
      <c r="R92" t="s">
        <v>217</v>
      </c>
      <c r="S92" t="s">
        <v>216</v>
      </c>
      <c r="T92" t="s">
        <v>216</v>
      </c>
      <c r="U92" t="s">
        <v>217</v>
      </c>
      <c r="V92">
        <f t="shared" si="4"/>
        <v>29</v>
      </c>
      <c r="W92">
        <f t="shared" si="5"/>
        <v>111</v>
      </c>
      <c r="X92">
        <f t="shared" si="6"/>
        <v>4.1428571428571432</v>
      </c>
      <c r="Y92">
        <f t="shared" si="7"/>
        <v>15.857142857142858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2</v>
      </c>
      <c r="AK92" s="1">
        <v>0</v>
      </c>
      <c r="AL92" s="1">
        <v>0</v>
      </c>
      <c r="AM92" s="1">
        <v>17</v>
      </c>
      <c r="AN92" s="1">
        <v>0</v>
      </c>
      <c r="AO92" s="1">
        <v>1</v>
      </c>
      <c r="AP92" s="1">
        <v>4</v>
      </c>
      <c r="AQ92" s="1">
        <v>0</v>
      </c>
      <c r="AR92" s="1">
        <v>1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5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5</v>
      </c>
      <c r="BZ92" s="1">
        <v>18</v>
      </c>
      <c r="CA92" s="1">
        <v>0</v>
      </c>
      <c r="CB92" s="1">
        <v>0</v>
      </c>
      <c r="CC92" s="1">
        <v>0</v>
      </c>
      <c r="CD92" s="1">
        <v>11</v>
      </c>
      <c r="CE92" s="1">
        <v>0</v>
      </c>
      <c r="CF92" s="1">
        <v>0</v>
      </c>
      <c r="CG92" s="1">
        <v>1</v>
      </c>
      <c r="CH92" s="1">
        <v>0</v>
      </c>
      <c r="CI92" s="1">
        <v>1</v>
      </c>
      <c r="CJ92" s="1">
        <v>0</v>
      </c>
      <c r="CK92" s="1">
        <v>0</v>
      </c>
      <c r="CL92" s="1">
        <v>0</v>
      </c>
      <c r="CM92" s="1">
        <v>1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1</v>
      </c>
      <c r="CU92" s="1">
        <v>0</v>
      </c>
      <c r="CV92" s="1">
        <v>3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1</v>
      </c>
      <c r="DC92" s="1">
        <v>0</v>
      </c>
      <c r="DD92" s="1">
        <v>0</v>
      </c>
      <c r="DE92" s="1">
        <v>0</v>
      </c>
      <c r="DF92" s="1">
        <v>0</v>
      </c>
      <c r="DG92" s="1">
        <v>3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1</v>
      </c>
      <c r="DX92" s="1">
        <v>0</v>
      </c>
      <c r="DY92" s="1">
        <v>0</v>
      </c>
      <c r="DZ92" s="1">
        <v>2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3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1</v>
      </c>
      <c r="FG92" s="1">
        <v>1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1</v>
      </c>
      <c r="FZ92" s="1">
        <v>0</v>
      </c>
      <c r="GA92" s="1">
        <v>0</v>
      </c>
      <c r="GB92" s="1">
        <v>3</v>
      </c>
      <c r="GC92" s="1">
        <v>0</v>
      </c>
      <c r="GD92" s="1">
        <v>0</v>
      </c>
      <c r="GE92" s="1">
        <v>1</v>
      </c>
      <c r="GF92" s="1">
        <v>1</v>
      </c>
      <c r="GG92" s="1">
        <v>0</v>
      </c>
      <c r="GH92" s="1">
        <v>12</v>
      </c>
      <c r="GI92" s="1">
        <v>0</v>
      </c>
      <c r="GJ92" s="1">
        <v>6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3</v>
      </c>
      <c r="IG92">
        <v>0</v>
      </c>
      <c r="IH92">
        <v>0</v>
      </c>
    </row>
    <row r="93" spans="1:242" x14ac:dyDescent="0.25">
      <c r="A93">
        <v>15830</v>
      </c>
      <c r="B93">
        <v>7</v>
      </c>
      <c r="C93">
        <v>7</v>
      </c>
      <c r="D93" t="s">
        <v>219</v>
      </c>
      <c r="E93" t="s">
        <v>220</v>
      </c>
      <c r="F93">
        <v>3</v>
      </c>
      <c r="G93">
        <v>31.067499999999999</v>
      </c>
      <c r="H93">
        <v>10.96983333</v>
      </c>
      <c r="I93">
        <v>18.20163591</v>
      </c>
      <c r="J93">
        <v>99.333333330000002</v>
      </c>
      <c r="K93">
        <v>13.133333329999999</v>
      </c>
      <c r="L93">
        <v>57.285912699999997</v>
      </c>
      <c r="M93">
        <v>11.94829841</v>
      </c>
      <c r="N93">
        <v>-0.53200000000000003</v>
      </c>
      <c r="O93">
        <v>-0.81</v>
      </c>
      <c r="P93" t="s">
        <v>216</v>
      </c>
      <c r="Q93" t="s">
        <v>216</v>
      </c>
      <c r="R93" t="s">
        <v>217</v>
      </c>
      <c r="S93" t="s">
        <v>216</v>
      </c>
      <c r="T93" t="s">
        <v>216</v>
      </c>
      <c r="U93" t="s">
        <v>217</v>
      </c>
      <c r="V93">
        <f t="shared" si="4"/>
        <v>34</v>
      </c>
      <c r="W93">
        <f t="shared" si="5"/>
        <v>222</v>
      </c>
      <c r="X93">
        <f t="shared" si="6"/>
        <v>4.8571428571428568</v>
      </c>
      <c r="Y93">
        <f t="shared" si="7"/>
        <v>31.714285714285715</v>
      </c>
      <c r="Z93" s="1">
        <v>0</v>
      </c>
      <c r="AA93" s="1">
        <v>7</v>
      </c>
      <c r="AB93" s="1">
        <v>0</v>
      </c>
      <c r="AC93" s="1">
        <v>0</v>
      </c>
      <c r="AD93" s="1">
        <v>0</v>
      </c>
      <c r="AE93" s="1">
        <v>0</v>
      </c>
      <c r="AF93" s="1">
        <v>5</v>
      </c>
      <c r="AG93" s="1">
        <v>1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16</v>
      </c>
      <c r="AN93" s="1">
        <v>4</v>
      </c>
      <c r="AO93" s="1">
        <v>0</v>
      </c>
      <c r="AP93" s="1">
        <v>28</v>
      </c>
      <c r="AQ93" s="1">
        <v>0</v>
      </c>
      <c r="AR93" s="1">
        <v>5</v>
      </c>
      <c r="AS93" s="1">
        <v>1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1</v>
      </c>
      <c r="BA93" s="1">
        <v>1</v>
      </c>
      <c r="BB93" s="1">
        <v>0</v>
      </c>
      <c r="BC93" s="1">
        <v>0</v>
      </c>
      <c r="BD93" s="1">
        <v>0</v>
      </c>
      <c r="BE93" s="1">
        <v>0</v>
      </c>
      <c r="BF93" s="1">
        <v>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6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80</v>
      </c>
      <c r="BZ93" s="1">
        <v>19</v>
      </c>
      <c r="CA93" s="1">
        <v>1</v>
      </c>
      <c r="CB93" s="1">
        <v>1</v>
      </c>
      <c r="CC93" s="1">
        <v>0</v>
      </c>
      <c r="CD93" s="1">
        <v>12</v>
      </c>
      <c r="CE93" s="1">
        <v>0</v>
      </c>
      <c r="CF93" s="1">
        <v>0</v>
      </c>
      <c r="CG93" s="1">
        <v>1</v>
      </c>
      <c r="CH93" s="1">
        <v>0</v>
      </c>
      <c r="CI93" s="1">
        <v>2</v>
      </c>
      <c r="CJ93" s="1">
        <v>0</v>
      </c>
      <c r="CK93" s="1">
        <v>0</v>
      </c>
      <c r="CL93" s="1">
        <v>0</v>
      </c>
      <c r="CM93" s="1">
        <v>0</v>
      </c>
      <c r="CN93" s="1">
        <v>2</v>
      </c>
      <c r="CO93" s="1">
        <v>0</v>
      </c>
      <c r="CP93" s="1">
        <v>0</v>
      </c>
      <c r="CQ93" s="1">
        <v>0</v>
      </c>
      <c r="CR93" s="1">
        <v>1</v>
      </c>
      <c r="CS93" s="1">
        <v>0</v>
      </c>
      <c r="CT93" s="1">
        <v>0</v>
      </c>
      <c r="CU93" s="1">
        <v>0</v>
      </c>
      <c r="CV93" s="1">
        <v>4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1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1</v>
      </c>
      <c r="DV93" s="1">
        <v>0</v>
      </c>
      <c r="DW93" s="1">
        <v>0</v>
      </c>
      <c r="DX93" s="1">
        <v>0</v>
      </c>
      <c r="DY93" s="1">
        <v>0</v>
      </c>
      <c r="DZ93" s="1">
        <v>4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3</v>
      </c>
      <c r="EI93" s="1">
        <v>0</v>
      </c>
      <c r="EJ93" s="1">
        <v>2</v>
      </c>
      <c r="EK93" s="1">
        <v>5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1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1</v>
      </c>
      <c r="GG93" s="1">
        <v>0</v>
      </c>
      <c r="GH93" s="1">
        <v>1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2</v>
      </c>
    </row>
    <row r="94" spans="1:242" x14ac:dyDescent="0.25">
      <c r="A94">
        <v>15834</v>
      </c>
      <c r="B94">
        <v>7</v>
      </c>
      <c r="C94">
        <v>7</v>
      </c>
      <c r="D94" t="s">
        <v>222</v>
      </c>
      <c r="E94" t="s">
        <v>223</v>
      </c>
      <c r="F94">
        <v>3</v>
      </c>
      <c r="G94">
        <v>29.465250000000001</v>
      </c>
      <c r="H94">
        <v>13.74</v>
      </c>
      <c r="I94">
        <v>20.047927080000001</v>
      </c>
      <c r="J94">
        <v>97.424999999999997</v>
      </c>
      <c r="K94">
        <v>31.824999999999999</v>
      </c>
      <c r="L94">
        <v>72.936309519999995</v>
      </c>
      <c r="M94">
        <v>14.411655290000001</v>
      </c>
      <c r="N94">
        <v>-0.17100000000000001</v>
      </c>
      <c r="O94">
        <v>1.58</v>
      </c>
      <c r="P94" t="s">
        <v>216</v>
      </c>
      <c r="Q94" t="s">
        <v>216</v>
      </c>
      <c r="R94" t="s">
        <v>217</v>
      </c>
      <c r="S94" t="s">
        <v>216</v>
      </c>
      <c r="T94" t="s">
        <v>216</v>
      </c>
      <c r="U94" t="s">
        <v>217</v>
      </c>
      <c r="V94">
        <f t="shared" si="4"/>
        <v>29</v>
      </c>
      <c r="W94">
        <f t="shared" si="5"/>
        <v>140</v>
      </c>
      <c r="X94">
        <f t="shared" si="6"/>
        <v>4.1428571428571432</v>
      </c>
      <c r="Y94">
        <f t="shared" si="7"/>
        <v>20</v>
      </c>
      <c r="Z94" s="1">
        <v>0</v>
      </c>
      <c r="AA94" s="1">
        <v>1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9</v>
      </c>
      <c r="AN94" s="1">
        <v>0</v>
      </c>
      <c r="AO94" s="1">
        <v>0</v>
      </c>
      <c r="AP94" s="1">
        <v>56</v>
      </c>
      <c r="AQ94" s="1">
        <v>0</v>
      </c>
      <c r="AR94" s="1">
        <v>2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1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4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2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4</v>
      </c>
      <c r="BZ94" s="1">
        <v>9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1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2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1</v>
      </c>
      <c r="DC94" s="1">
        <v>0</v>
      </c>
      <c r="DD94" s="1">
        <v>0</v>
      </c>
      <c r="DE94" s="1">
        <v>0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12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9</v>
      </c>
      <c r="EI94" s="1">
        <v>0</v>
      </c>
      <c r="EJ94" s="1">
        <v>0</v>
      </c>
      <c r="EK94" s="1">
        <v>8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2</v>
      </c>
      <c r="EV94" s="1">
        <v>0</v>
      </c>
      <c r="EW94" s="1">
        <v>0</v>
      </c>
      <c r="EX94" s="1">
        <v>0</v>
      </c>
      <c r="EY94" s="1">
        <v>0</v>
      </c>
      <c r="EZ94" s="1">
        <v>2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1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2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1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2</v>
      </c>
      <c r="GG94" s="1">
        <v>1</v>
      </c>
      <c r="GH94" s="1">
        <v>0</v>
      </c>
      <c r="GI94" s="1">
        <v>0</v>
      </c>
      <c r="GJ94" s="1">
        <v>1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2</v>
      </c>
      <c r="IG94">
        <v>0</v>
      </c>
      <c r="IH94">
        <v>1</v>
      </c>
    </row>
    <row r="95" spans="1:242" x14ac:dyDescent="0.25">
      <c r="A95">
        <v>15836</v>
      </c>
      <c r="B95">
        <v>31</v>
      </c>
      <c r="C95">
        <v>7</v>
      </c>
      <c r="D95" t="s">
        <v>219</v>
      </c>
      <c r="E95" t="s">
        <v>220</v>
      </c>
      <c r="F95">
        <v>4</v>
      </c>
      <c r="G95">
        <v>28.744499999999999</v>
      </c>
      <c r="H95">
        <v>10.566750000000001</v>
      </c>
      <c r="I95">
        <v>18.237309100000001</v>
      </c>
      <c r="J95">
        <v>98.733333329999994</v>
      </c>
      <c r="K95">
        <v>12.65833333</v>
      </c>
      <c r="L95">
        <v>53.815525790000002</v>
      </c>
      <c r="M95">
        <v>11.94829491</v>
      </c>
      <c r="N95">
        <v>-0.64600000000000002</v>
      </c>
      <c r="O95">
        <v>-1.01</v>
      </c>
      <c r="P95" t="s">
        <v>217</v>
      </c>
      <c r="Q95" t="s">
        <v>216</v>
      </c>
      <c r="R95" t="s">
        <v>217</v>
      </c>
      <c r="S95" t="s">
        <v>216</v>
      </c>
      <c r="T95" t="s">
        <v>216</v>
      </c>
      <c r="U95" t="s">
        <v>217</v>
      </c>
      <c r="V95">
        <f t="shared" si="4"/>
        <v>36</v>
      </c>
      <c r="W95">
        <f t="shared" si="5"/>
        <v>250</v>
      </c>
      <c r="X95">
        <f t="shared" si="6"/>
        <v>5.1428571428571432</v>
      </c>
      <c r="Y95">
        <f t="shared" si="7"/>
        <v>35.714285714285715</v>
      </c>
      <c r="Z95" s="1">
        <v>0</v>
      </c>
      <c r="AA95" s="1">
        <v>2</v>
      </c>
      <c r="AB95" s="1">
        <v>0</v>
      </c>
      <c r="AC95" s="1">
        <v>0</v>
      </c>
      <c r="AD95" s="1">
        <v>0</v>
      </c>
      <c r="AE95" s="1">
        <v>0</v>
      </c>
      <c r="AF95" s="1">
        <v>2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0</v>
      </c>
      <c r="AM95" s="1">
        <v>73</v>
      </c>
      <c r="AN95" s="1">
        <v>2</v>
      </c>
      <c r="AO95" s="1">
        <v>2</v>
      </c>
      <c r="AP95" s="1">
        <v>3</v>
      </c>
      <c r="AQ95" s="1">
        <v>2</v>
      </c>
      <c r="AR95" s="1">
        <v>7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0</v>
      </c>
      <c r="BD95" s="1">
        <v>0</v>
      </c>
      <c r="BE95" s="1">
        <v>1</v>
      </c>
      <c r="BF95" s="1">
        <v>2</v>
      </c>
      <c r="BG95" s="1">
        <v>5</v>
      </c>
      <c r="BH95" s="1">
        <v>0</v>
      </c>
      <c r="BI95" s="1">
        <v>0</v>
      </c>
      <c r="BJ95" s="1">
        <v>0</v>
      </c>
      <c r="BK95" s="1">
        <v>0</v>
      </c>
      <c r="BL95" s="1">
        <v>5</v>
      </c>
      <c r="BM95" s="1">
        <v>0</v>
      </c>
      <c r="BN95" s="1">
        <v>1</v>
      </c>
      <c r="BO95" s="1">
        <v>0</v>
      </c>
      <c r="BP95" s="1">
        <v>0</v>
      </c>
      <c r="BQ95" s="1">
        <v>0</v>
      </c>
      <c r="BR95" s="1">
        <v>0</v>
      </c>
      <c r="BS95" s="1">
        <v>1</v>
      </c>
      <c r="BT95" s="1">
        <v>3</v>
      </c>
      <c r="BU95" s="1">
        <v>0</v>
      </c>
      <c r="BV95" s="1">
        <v>0</v>
      </c>
      <c r="BW95" s="1">
        <v>0</v>
      </c>
      <c r="BX95" s="1">
        <v>0</v>
      </c>
      <c r="BY95" s="1">
        <v>24</v>
      </c>
      <c r="BZ95" s="1">
        <v>25</v>
      </c>
      <c r="CA95" s="1">
        <v>1</v>
      </c>
      <c r="CB95" s="1">
        <v>12</v>
      </c>
      <c r="CC95" s="1">
        <v>5</v>
      </c>
      <c r="CD95" s="1">
        <v>29</v>
      </c>
      <c r="CE95" s="1">
        <v>1</v>
      </c>
      <c r="CF95" s="1">
        <v>0</v>
      </c>
      <c r="CG95" s="1">
        <v>0</v>
      </c>
      <c r="CH95" s="1">
        <v>1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2</v>
      </c>
      <c r="CQ95" s="1">
        <v>0</v>
      </c>
      <c r="CR95" s="1">
        <v>0</v>
      </c>
      <c r="CS95" s="1">
        <v>3</v>
      </c>
      <c r="CT95" s="1">
        <v>0</v>
      </c>
      <c r="CU95" s="1">
        <v>0</v>
      </c>
      <c r="CV95" s="1">
        <v>21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5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1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1</v>
      </c>
      <c r="FI95" s="1">
        <v>0</v>
      </c>
      <c r="FJ95" s="1">
        <v>0</v>
      </c>
      <c r="FK95" s="1">
        <v>1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1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2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</row>
    <row r="96" spans="1:242" x14ac:dyDescent="0.25">
      <c r="A96">
        <v>15840</v>
      </c>
      <c r="B96">
        <v>31</v>
      </c>
      <c r="C96">
        <v>7</v>
      </c>
      <c r="D96" t="s">
        <v>221</v>
      </c>
      <c r="E96" t="s">
        <v>220</v>
      </c>
      <c r="F96">
        <v>4</v>
      </c>
      <c r="G96">
        <v>32.433583329999998</v>
      </c>
      <c r="H96">
        <v>6.4730833329999999</v>
      </c>
      <c r="I96">
        <v>16.609201880000001</v>
      </c>
      <c r="J96">
        <v>95.808333329999996</v>
      </c>
      <c r="K96">
        <v>15.775</v>
      </c>
      <c r="L96">
        <v>56.0125496</v>
      </c>
      <c r="M96">
        <v>12.934742780000001</v>
      </c>
      <c r="N96">
        <v>-0.48099999999999998</v>
      </c>
      <c r="O96">
        <v>-1.3</v>
      </c>
      <c r="P96" t="s">
        <v>217</v>
      </c>
      <c r="Q96" t="s">
        <v>216</v>
      </c>
      <c r="R96" t="s">
        <v>217</v>
      </c>
      <c r="S96" t="s">
        <v>216</v>
      </c>
      <c r="T96" t="s">
        <v>216</v>
      </c>
      <c r="U96" t="s">
        <v>217</v>
      </c>
      <c r="V96">
        <f t="shared" si="4"/>
        <v>25</v>
      </c>
      <c r="W96">
        <f t="shared" si="5"/>
        <v>90</v>
      </c>
      <c r="X96">
        <f t="shared" si="6"/>
        <v>3.5714285714285716</v>
      </c>
      <c r="Y96">
        <f t="shared" si="7"/>
        <v>12.857142857142858</v>
      </c>
      <c r="Z96" s="1">
        <v>0</v>
      </c>
      <c r="AA96" s="1">
        <v>2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17</v>
      </c>
      <c r="AN96" s="1">
        <v>0</v>
      </c>
      <c r="AO96" s="1">
        <v>3</v>
      </c>
      <c r="AP96" s="1">
        <v>3</v>
      </c>
      <c r="AQ96" s="1">
        <v>0</v>
      </c>
      <c r="AR96" s="1">
        <v>2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1</v>
      </c>
      <c r="BB96" s="1">
        <v>0</v>
      </c>
      <c r="BC96" s="1">
        <v>0</v>
      </c>
      <c r="BD96" s="1">
        <v>0</v>
      </c>
      <c r="BE96" s="1">
        <v>0</v>
      </c>
      <c r="BF96" s="1">
        <v>8</v>
      </c>
      <c r="BG96" s="1">
        <v>2</v>
      </c>
      <c r="BH96" s="1">
        <v>0</v>
      </c>
      <c r="BI96" s="1">
        <v>0</v>
      </c>
      <c r="BJ96" s="1">
        <v>0</v>
      </c>
      <c r="BK96" s="1">
        <v>0</v>
      </c>
      <c r="BL96" s="1">
        <v>8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2</v>
      </c>
      <c r="BZ96" s="1">
        <v>4</v>
      </c>
      <c r="CA96" s="1">
        <v>2</v>
      </c>
      <c r="CB96" s="1">
        <v>3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1</v>
      </c>
      <c r="CJ96" s="1">
        <v>1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1</v>
      </c>
      <c r="CW96" s="1">
        <v>1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1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20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1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1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1</v>
      </c>
      <c r="IF96">
        <v>3</v>
      </c>
      <c r="IG96">
        <v>0</v>
      </c>
      <c r="IH96">
        <v>0</v>
      </c>
    </row>
    <row r="97" spans="1:242" x14ac:dyDescent="0.25">
      <c r="A97">
        <v>15842</v>
      </c>
      <c r="B97">
        <v>24</v>
      </c>
      <c r="C97">
        <v>7</v>
      </c>
      <c r="D97" t="s">
        <v>219</v>
      </c>
      <c r="E97" t="s">
        <v>220</v>
      </c>
      <c r="F97">
        <v>3</v>
      </c>
      <c r="G97">
        <v>21.014166670000002</v>
      </c>
      <c r="H97">
        <v>11.181416670000001</v>
      </c>
      <c r="I97">
        <v>15.22383185</v>
      </c>
      <c r="J97">
        <v>98.983333329999994</v>
      </c>
      <c r="K97">
        <v>13.008333329999999</v>
      </c>
      <c r="L97">
        <v>59.274156750000003</v>
      </c>
      <c r="M97">
        <v>11.948115420000001</v>
      </c>
      <c r="N97">
        <v>-1.93</v>
      </c>
      <c r="O97">
        <v>-0.749</v>
      </c>
      <c r="P97" t="s">
        <v>217</v>
      </c>
      <c r="Q97" t="s">
        <v>217</v>
      </c>
      <c r="R97" t="s">
        <v>217</v>
      </c>
      <c r="S97" t="s">
        <v>217</v>
      </c>
      <c r="T97" t="s">
        <v>217</v>
      </c>
      <c r="U97" t="s">
        <v>217</v>
      </c>
      <c r="V97">
        <f t="shared" si="4"/>
        <v>32</v>
      </c>
      <c r="W97">
        <f t="shared" si="5"/>
        <v>207</v>
      </c>
      <c r="X97">
        <f t="shared" si="6"/>
        <v>4.5714285714285712</v>
      </c>
      <c r="Y97">
        <f t="shared" si="7"/>
        <v>29.571428571428573</v>
      </c>
      <c r="Z97" s="1">
        <v>0</v>
      </c>
      <c r="AA97" s="1">
        <v>3</v>
      </c>
      <c r="AB97" s="1">
        <v>0</v>
      </c>
      <c r="AC97" s="1">
        <v>0</v>
      </c>
      <c r="AD97" s="1">
        <v>0</v>
      </c>
      <c r="AE97" s="1">
        <v>0</v>
      </c>
      <c r="AF97" s="1">
        <v>14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51</v>
      </c>
      <c r="AN97" s="1">
        <v>0</v>
      </c>
      <c r="AO97" s="1">
        <v>0</v>
      </c>
      <c r="AP97" s="1">
        <v>9</v>
      </c>
      <c r="AQ97" s="1">
        <v>3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2</v>
      </c>
      <c r="BH97" s="1">
        <v>0</v>
      </c>
      <c r="BI97" s="1">
        <v>0</v>
      </c>
      <c r="BJ97" s="1">
        <v>0</v>
      </c>
      <c r="BK97" s="1">
        <v>0</v>
      </c>
      <c r="BL97" s="1">
        <v>12</v>
      </c>
      <c r="BM97" s="1">
        <v>1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1</v>
      </c>
      <c r="BU97" s="1">
        <v>0</v>
      </c>
      <c r="BV97" s="1">
        <v>0</v>
      </c>
      <c r="BW97" s="1">
        <v>0</v>
      </c>
      <c r="BX97" s="1">
        <v>0</v>
      </c>
      <c r="BY97" s="1">
        <v>38</v>
      </c>
      <c r="BZ97" s="1">
        <v>19</v>
      </c>
      <c r="CA97" s="1">
        <v>2</v>
      </c>
      <c r="CB97" s="1">
        <v>2</v>
      </c>
      <c r="CC97" s="1">
        <v>1</v>
      </c>
      <c r="CD97" s="1">
        <v>16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1</v>
      </c>
      <c r="CL97" s="1">
        <v>0</v>
      </c>
      <c r="CM97" s="1">
        <v>0</v>
      </c>
      <c r="CN97" s="1">
        <v>5</v>
      </c>
      <c r="CO97" s="1">
        <v>0</v>
      </c>
      <c r="CP97" s="1">
        <v>0</v>
      </c>
      <c r="CQ97" s="1">
        <v>0</v>
      </c>
      <c r="CR97" s="1">
        <v>1</v>
      </c>
      <c r="CS97" s="1">
        <v>1</v>
      </c>
      <c r="CT97" s="1">
        <v>0</v>
      </c>
      <c r="CU97" s="1">
        <v>0</v>
      </c>
      <c r="CV97" s="1">
        <v>5</v>
      </c>
      <c r="CW97" s="1">
        <v>2</v>
      </c>
      <c r="CX97" s="1">
        <v>0</v>
      </c>
      <c r="CY97" s="1">
        <v>0</v>
      </c>
      <c r="CZ97" s="1">
        <v>0</v>
      </c>
      <c r="DA97" s="1">
        <v>1</v>
      </c>
      <c r="DB97" s="1">
        <v>2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3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1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2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4</v>
      </c>
      <c r="IE97">
        <v>0</v>
      </c>
      <c r="IF97">
        <v>1</v>
      </c>
      <c r="IG97">
        <v>0</v>
      </c>
      <c r="IH97">
        <v>1</v>
      </c>
    </row>
    <row r="98" spans="1:242" x14ac:dyDescent="0.25">
      <c r="A98">
        <v>15846</v>
      </c>
      <c r="B98">
        <v>24</v>
      </c>
      <c r="C98">
        <v>7</v>
      </c>
      <c r="D98" t="s">
        <v>221</v>
      </c>
      <c r="E98" t="s">
        <v>220</v>
      </c>
      <c r="F98">
        <v>3</v>
      </c>
      <c r="G98">
        <v>22.056416670000001</v>
      </c>
      <c r="H98">
        <v>8.9816666670000007</v>
      </c>
      <c r="I98">
        <v>13.806002980000001</v>
      </c>
      <c r="J98">
        <v>98.291666669999998</v>
      </c>
      <c r="K98">
        <v>13.54166667</v>
      </c>
      <c r="L98">
        <v>61.268501980000003</v>
      </c>
      <c r="M98">
        <v>12.93579877</v>
      </c>
      <c r="N98">
        <v>-2.0099999999999998</v>
      </c>
      <c r="O98">
        <v>-0.81599999999999995</v>
      </c>
      <c r="P98" t="s">
        <v>217</v>
      </c>
      <c r="Q98" t="s">
        <v>217</v>
      </c>
      <c r="R98" t="s">
        <v>217</v>
      </c>
      <c r="S98" t="s">
        <v>217</v>
      </c>
      <c r="T98" t="s">
        <v>217</v>
      </c>
      <c r="U98" t="s">
        <v>217</v>
      </c>
      <c r="V98">
        <f t="shared" si="4"/>
        <v>34</v>
      </c>
      <c r="W98">
        <f t="shared" si="5"/>
        <v>247</v>
      </c>
      <c r="X98">
        <f t="shared" si="6"/>
        <v>4.8571428571428568</v>
      </c>
      <c r="Y98">
        <f t="shared" si="7"/>
        <v>35.285714285714285</v>
      </c>
      <c r="Z98" s="1">
        <v>0</v>
      </c>
      <c r="AA98" s="1">
        <v>2</v>
      </c>
      <c r="AB98" s="1">
        <v>0</v>
      </c>
      <c r="AC98" s="1">
        <v>0</v>
      </c>
      <c r="AD98" s="1">
        <v>0</v>
      </c>
      <c r="AE98" s="1">
        <v>0</v>
      </c>
      <c r="AF98" s="1">
        <v>10</v>
      </c>
      <c r="AG98" s="1">
        <v>0</v>
      </c>
      <c r="AH98" s="1">
        <v>7</v>
      </c>
      <c r="AI98" s="1">
        <v>3</v>
      </c>
      <c r="AJ98" s="1">
        <v>0</v>
      </c>
      <c r="AK98" s="1">
        <v>0</v>
      </c>
      <c r="AL98" s="1">
        <v>0</v>
      </c>
      <c r="AM98" s="1">
        <v>26</v>
      </c>
      <c r="AN98" s="1">
        <v>0</v>
      </c>
      <c r="AO98" s="1">
        <v>1</v>
      </c>
      <c r="AP98" s="1">
        <v>49</v>
      </c>
      <c r="AQ98" s="1">
        <v>1</v>
      </c>
      <c r="AR98" s="1">
        <v>1</v>
      </c>
      <c r="AS98" s="1">
        <v>0</v>
      </c>
      <c r="AT98" s="1">
        <v>1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55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1</v>
      </c>
      <c r="BX98" s="1">
        <v>0</v>
      </c>
      <c r="BY98" s="1">
        <v>20</v>
      </c>
      <c r="BZ98" s="1">
        <v>31</v>
      </c>
      <c r="CA98" s="1">
        <v>0</v>
      </c>
      <c r="CB98" s="1">
        <v>2</v>
      </c>
      <c r="CC98" s="1">
        <v>0</v>
      </c>
      <c r="CD98" s="1">
        <v>4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5</v>
      </c>
      <c r="CW98" s="1">
        <v>2</v>
      </c>
      <c r="CX98" s="1">
        <v>0</v>
      </c>
      <c r="CY98" s="1">
        <v>0</v>
      </c>
      <c r="CZ98" s="1">
        <v>0</v>
      </c>
      <c r="DA98" s="1">
        <v>0</v>
      </c>
      <c r="DB98" s="1">
        <v>1</v>
      </c>
      <c r="DC98" s="1">
        <v>0</v>
      </c>
      <c r="DD98" s="1">
        <v>0</v>
      </c>
      <c r="DE98" s="1">
        <v>0</v>
      </c>
      <c r="DF98" s="1">
        <v>0</v>
      </c>
      <c r="DG98" s="1">
        <v>1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1</v>
      </c>
      <c r="DX98" s="1">
        <v>0</v>
      </c>
      <c r="DY98" s="1">
        <v>0</v>
      </c>
      <c r="DZ98" s="1">
        <v>3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1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1</v>
      </c>
      <c r="ET98" s="1">
        <v>0</v>
      </c>
      <c r="EU98" s="1">
        <v>4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1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1</v>
      </c>
      <c r="FU98" s="1">
        <v>0</v>
      </c>
      <c r="FV98" s="1">
        <v>0</v>
      </c>
      <c r="FW98" s="1">
        <v>0</v>
      </c>
      <c r="FX98" s="1">
        <v>0</v>
      </c>
      <c r="FY98" s="1">
        <v>1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1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3</v>
      </c>
      <c r="GY98">
        <v>0</v>
      </c>
      <c r="GZ98">
        <v>0</v>
      </c>
      <c r="HA98">
        <v>0</v>
      </c>
      <c r="HB98">
        <v>1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3</v>
      </c>
      <c r="IG98">
        <v>0</v>
      </c>
      <c r="IH98">
        <v>0</v>
      </c>
    </row>
    <row r="99" spans="1:242" x14ac:dyDescent="0.25">
      <c r="A99">
        <v>15851</v>
      </c>
      <c r="B99">
        <v>13</v>
      </c>
      <c r="C99">
        <v>7</v>
      </c>
      <c r="D99" t="s">
        <v>221</v>
      </c>
      <c r="E99" t="s">
        <v>220</v>
      </c>
      <c r="F99">
        <v>1</v>
      </c>
      <c r="G99">
        <v>31.817499999999999</v>
      </c>
      <c r="H99">
        <v>4.7915833330000002</v>
      </c>
      <c r="I99">
        <v>15.0741622</v>
      </c>
      <c r="J99">
        <v>97.474999999999994</v>
      </c>
      <c r="K99">
        <v>15.824999999999999</v>
      </c>
      <c r="L99">
        <v>61.246081349999997</v>
      </c>
      <c r="M99">
        <v>12.93622175</v>
      </c>
      <c r="N99">
        <v>-1.21</v>
      </c>
      <c r="O99">
        <v>-1.26</v>
      </c>
      <c r="P99" t="s">
        <v>217</v>
      </c>
      <c r="Q99" t="s">
        <v>217</v>
      </c>
      <c r="R99" t="s">
        <v>217</v>
      </c>
      <c r="S99" t="s">
        <v>216</v>
      </c>
      <c r="T99" t="s">
        <v>216</v>
      </c>
      <c r="U99" t="s">
        <v>217</v>
      </c>
      <c r="V99">
        <f t="shared" si="4"/>
        <v>38</v>
      </c>
      <c r="W99">
        <f t="shared" si="5"/>
        <v>205</v>
      </c>
      <c r="X99">
        <f t="shared" si="6"/>
        <v>5.4285714285714288</v>
      </c>
      <c r="Y99">
        <f t="shared" si="7"/>
        <v>29.285714285714285</v>
      </c>
      <c r="Z99" s="1">
        <v>0</v>
      </c>
      <c r="AA99" s="1">
        <v>2</v>
      </c>
      <c r="AB99" s="1">
        <v>0</v>
      </c>
      <c r="AC99" s="1">
        <v>0</v>
      </c>
      <c r="AD99" s="1">
        <v>0</v>
      </c>
      <c r="AE99" s="1">
        <v>0</v>
      </c>
      <c r="AF99" s="1">
        <v>3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12</v>
      </c>
      <c r="AN99" s="1">
        <v>4</v>
      </c>
      <c r="AO99" s="1">
        <v>6</v>
      </c>
      <c r="AP99" s="1">
        <v>4</v>
      </c>
      <c r="AQ99" s="1">
        <v>3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2</v>
      </c>
      <c r="BE99" s="1">
        <v>0</v>
      </c>
      <c r="BF99" s="1">
        <v>0</v>
      </c>
      <c r="BG99" s="1">
        <v>3</v>
      </c>
      <c r="BH99" s="1">
        <v>0</v>
      </c>
      <c r="BI99" s="1">
        <v>0</v>
      </c>
      <c r="BJ99" s="1">
        <v>0</v>
      </c>
      <c r="BK99" s="1">
        <v>0</v>
      </c>
      <c r="BL99" s="1">
        <v>35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1</v>
      </c>
      <c r="BT99" s="1">
        <v>4</v>
      </c>
      <c r="BU99" s="1">
        <v>0</v>
      </c>
      <c r="BV99" s="1">
        <v>0</v>
      </c>
      <c r="BW99" s="1">
        <v>0</v>
      </c>
      <c r="BX99" s="1">
        <v>0</v>
      </c>
      <c r="BY99" s="1">
        <v>11</v>
      </c>
      <c r="BZ99" s="1">
        <v>11</v>
      </c>
      <c r="CA99" s="1">
        <v>0</v>
      </c>
      <c r="CB99" s="1">
        <v>38</v>
      </c>
      <c r="CC99" s="1">
        <v>0</v>
      </c>
      <c r="CD99" s="1">
        <v>10</v>
      </c>
      <c r="CE99" s="1">
        <v>0</v>
      </c>
      <c r="CF99" s="1">
        <v>0</v>
      </c>
      <c r="CG99" s="1">
        <v>0</v>
      </c>
      <c r="CH99" s="1">
        <v>0</v>
      </c>
      <c r="CI99" s="1">
        <v>9</v>
      </c>
      <c r="CJ99" s="1">
        <v>0</v>
      </c>
      <c r="CK99" s="1">
        <v>0</v>
      </c>
      <c r="CL99" s="1">
        <v>0</v>
      </c>
      <c r="CM99" s="1">
        <v>3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12</v>
      </c>
      <c r="CW99" s="1">
        <v>3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3</v>
      </c>
      <c r="DF99" s="1">
        <v>0</v>
      </c>
      <c r="DG99" s="1">
        <v>0</v>
      </c>
      <c r="DH99" s="1">
        <v>0</v>
      </c>
      <c r="DI99" s="1">
        <v>1</v>
      </c>
      <c r="DJ99" s="1">
        <v>0</v>
      </c>
      <c r="DK99" s="1">
        <v>0</v>
      </c>
      <c r="DL99" s="1">
        <v>1</v>
      </c>
      <c r="DM99" s="1">
        <v>0</v>
      </c>
      <c r="DN99" s="1">
        <v>2</v>
      </c>
      <c r="DO99" s="1">
        <v>0</v>
      </c>
      <c r="DP99" s="1">
        <v>0</v>
      </c>
      <c r="DQ99" s="1">
        <v>2</v>
      </c>
      <c r="DR99" s="1">
        <v>1</v>
      </c>
      <c r="DS99" s="1">
        <v>1</v>
      </c>
      <c r="DT99" s="1">
        <v>0</v>
      </c>
      <c r="DU99" s="1">
        <v>0</v>
      </c>
      <c r="DV99" s="1">
        <v>2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1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1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1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3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1</v>
      </c>
      <c r="GE99" s="1">
        <v>1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3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3</v>
      </c>
    </row>
    <row r="100" spans="1:242" x14ac:dyDescent="0.25">
      <c r="A100">
        <v>15858</v>
      </c>
      <c r="B100">
        <v>23</v>
      </c>
      <c r="C100">
        <v>8</v>
      </c>
      <c r="D100" t="s">
        <v>221</v>
      </c>
      <c r="E100" t="s">
        <v>220</v>
      </c>
      <c r="F100">
        <v>5</v>
      </c>
      <c r="G100">
        <v>34.981083329999997</v>
      </c>
      <c r="H100">
        <v>8.5535833330000006</v>
      </c>
      <c r="I100">
        <v>18.4688874</v>
      </c>
      <c r="J100">
        <v>92.541666669999998</v>
      </c>
      <c r="K100">
        <v>14.275</v>
      </c>
      <c r="L100">
        <v>60.033283730000001</v>
      </c>
      <c r="M100">
        <v>13.170123009999999</v>
      </c>
      <c r="N100">
        <v>0.51600000000000001</v>
      </c>
      <c r="O100">
        <v>-1.02</v>
      </c>
      <c r="P100" t="s">
        <v>217</v>
      </c>
      <c r="Q100" t="s">
        <v>217</v>
      </c>
      <c r="R100" t="s">
        <v>216</v>
      </c>
      <c r="S100" t="s">
        <v>216</v>
      </c>
      <c r="T100" t="s">
        <v>216</v>
      </c>
      <c r="U100" t="s">
        <v>217</v>
      </c>
      <c r="V100">
        <f t="shared" si="4"/>
        <v>45</v>
      </c>
      <c r="W100">
        <f t="shared" si="5"/>
        <v>548</v>
      </c>
      <c r="X100">
        <f t="shared" si="6"/>
        <v>5.625</v>
      </c>
      <c r="Y100">
        <f t="shared" si="7"/>
        <v>68.5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25</v>
      </c>
      <c r="AI100" s="1">
        <v>24</v>
      </c>
      <c r="AJ100" s="1">
        <v>0</v>
      </c>
      <c r="AK100" s="1">
        <v>0</v>
      </c>
      <c r="AL100" s="1">
        <v>0</v>
      </c>
      <c r="AM100" s="1">
        <v>150</v>
      </c>
      <c r="AN100" s="1">
        <v>1</v>
      </c>
      <c r="AO100" s="1">
        <v>0</v>
      </c>
      <c r="AP100" s="1">
        <v>33</v>
      </c>
      <c r="AQ100" s="1">
        <v>0</v>
      </c>
      <c r="AR100" s="1">
        <v>0</v>
      </c>
      <c r="AS100" s="1">
        <v>2</v>
      </c>
      <c r="AT100" s="1">
        <v>4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11</v>
      </c>
      <c r="BB100" s="1">
        <v>0</v>
      </c>
      <c r="BC100" s="1">
        <v>0</v>
      </c>
      <c r="BD100" s="1">
        <v>0</v>
      </c>
      <c r="BE100" s="1">
        <v>1</v>
      </c>
      <c r="BF100" s="1">
        <v>7</v>
      </c>
      <c r="BG100" s="1">
        <v>2</v>
      </c>
      <c r="BH100" s="1">
        <v>0</v>
      </c>
      <c r="BI100" s="1">
        <v>0</v>
      </c>
      <c r="BJ100" s="1">
        <v>0</v>
      </c>
      <c r="BK100" s="1">
        <v>0</v>
      </c>
      <c r="BL100" s="1">
        <v>31</v>
      </c>
      <c r="BM100" s="1">
        <v>1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3</v>
      </c>
      <c r="BZ100" s="1">
        <v>34</v>
      </c>
      <c r="CA100" s="1">
        <v>11</v>
      </c>
      <c r="CB100" s="1">
        <v>2</v>
      </c>
      <c r="CC100" s="1">
        <v>0</v>
      </c>
      <c r="CD100" s="1">
        <v>70</v>
      </c>
      <c r="CE100" s="1">
        <v>0</v>
      </c>
      <c r="CF100" s="1">
        <v>0</v>
      </c>
      <c r="CG100" s="1">
        <v>23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9</v>
      </c>
      <c r="CN100" s="1">
        <v>1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15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4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3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3</v>
      </c>
      <c r="EA100" s="1">
        <v>0</v>
      </c>
      <c r="EB100" s="1">
        <v>1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2</v>
      </c>
      <c r="EI100" s="1">
        <v>0</v>
      </c>
      <c r="EJ100" s="1">
        <v>2</v>
      </c>
      <c r="EK100" s="1">
        <v>0</v>
      </c>
      <c r="EL100" s="1">
        <v>31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5</v>
      </c>
      <c r="ES100" s="1">
        <v>0</v>
      </c>
      <c r="ET100" s="1">
        <v>1</v>
      </c>
      <c r="EU100" s="1">
        <v>1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1</v>
      </c>
      <c r="FH100" s="1">
        <v>0</v>
      </c>
      <c r="FI100" s="1">
        <v>0</v>
      </c>
      <c r="FJ100" s="1">
        <v>0</v>
      </c>
      <c r="FK100" s="1">
        <v>1</v>
      </c>
      <c r="FL100" s="1">
        <v>0</v>
      </c>
      <c r="FM100" s="1">
        <v>2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5</v>
      </c>
      <c r="FZ100" s="1">
        <v>0</v>
      </c>
      <c r="GA100" s="1">
        <v>0</v>
      </c>
      <c r="GB100" s="1">
        <v>2</v>
      </c>
      <c r="GC100" s="1">
        <v>0</v>
      </c>
      <c r="GD100" s="1">
        <v>1</v>
      </c>
      <c r="GE100" s="1">
        <v>0</v>
      </c>
      <c r="GF100" s="1">
        <v>2</v>
      </c>
      <c r="GG100" s="1">
        <v>0</v>
      </c>
      <c r="GH100" s="1">
        <v>0</v>
      </c>
      <c r="GI100" s="1">
        <v>0</v>
      </c>
      <c r="GJ100" s="1">
        <v>2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1</v>
      </c>
      <c r="HH100">
        <v>0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6</v>
      </c>
      <c r="IG100">
        <v>0</v>
      </c>
      <c r="IH100">
        <v>10</v>
      </c>
    </row>
    <row r="101" spans="1:242" x14ac:dyDescent="0.25">
      <c r="A101">
        <v>15865</v>
      </c>
      <c r="B101">
        <v>29</v>
      </c>
      <c r="C101">
        <v>7</v>
      </c>
      <c r="D101" t="s">
        <v>221</v>
      </c>
      <c r="E101" t="s">
        <v>220</v>
      </c>
      <c r="F101">
        <v>3</v>
      </c>
      <c r="G101">
        <v>34.793500000000002</v>
      </c>
      <c r="H101">
        <v>6.3593333330000004</v>
      </c>
      <c r="I101">
        <v>16.60118056</v>
      </c>
      <c r="J101">
        <v>93.158333330000005</v>
      </c>
      <c r="K101">
        <v>13.725</v>
      </c>
      <c r="L101">
        <v>55.976388890000003</v>
      </c>
      <c r="M101">
        <v>12.935383079999999</v>
      </c>
      <c r="N101" s="8">
        <v>4.6300000000000001E-2</v>
      </c>
      <c r="O101">
        <v>-1.58</v>
      </c>
      <c r="P101" t="s">
        <v>217</v>
      </c>
      <c r="Q101" t="s">
        <v>217</v>
      </c>
      <c r="R101" t="s">
        <v>217</v>
      </c>
      <c r="S101" t="s">
        <v>217</v>
      </c>
      <c r="T101" t="s">
        <v>217</v>
      </c>
      <c r="U101" t="s">
        <v>217</v>
      </c>
      <c r="V101">
        <f t="shared" si="4"/>
        <v>29</v>
      </c>
      <c r="W101">
        <f t="shared" si="5"/>
        <v>161</v>
      </c>
      <c r="X101">
        <f t="shared" si="6"/>
        <v>4.1428571428571432</v>
      </c>
      <c r="Y101">
        <f t="shared" si="7"/>
        <v>23</v>
      </c>
      <c r="Z101" s="1">
        <v>0</v>
      </c>
      <c r="AA101" s="1">
        <v>1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14</v>
      </c>
      <c r="AI101" s="1">
        <v>1</v>
      </c>
      <c r="AJ101" s="1">
        <v>1</v>
      </c>
      <c r="AK101" s="1">
        <v>0</v>
      </c>
      <c r="AL101" s="1">
        <v>0</v>
      </c>
      <c r="AM101" s="1">
        <v>20</v>
      </c>
      <c r="AN101" s="1">
        <v>0</v>
      </c>
      <c r="AO101" s="1">
        <v>0</v>
      </c>
      <c r="AP101" s="1">
        <v>42</v>
      </c>
      <c r="AQ101" s="1">
        <v>0</v>
      </c>
      <c r="AR101" s="1">
        <v>1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4</v>
      </c>
      <c r="BM101" s="1">
        <v>0</v>
      </c>
      <c r="BN101" s="1">
        <v>0</v>
      </c>
      <c r="BO101" s="1">
        <v>1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7</v>
      </c>
      <c r="BZ101" s="1">
        <v>2</v>
      </c>
      <c r="CA101" s="1">
        <v>1</v>
      </c>
      <c r="CB101" s="1">
        <v>2</v>
      </c>
      <c r="CC101" s="1">
        <v>0</v>
      </c>
      <c r="CD101" s="1">
        <v>2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5</v>
      </c>
      <c r="CW101" s="1">
        <v>1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1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26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3</v>
      </c>
      <c r="EI101" s="1">
        <v>0</v>
      </c>
      <c r="EJ101" s="1">
        <v>2</v>
      </c>
      <c r="EK101" s="1">
        <v>2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1</v>
      </c>
      <c r="EV101" s="1">
        <v>0</v>
      </c>
      <c r="EW101" s="1">
        <v>0</v>
      </c>
      <c r="EX101" s="1">
        <v>0</v>
      </c>
      <c r="EY101" s="1">
        <v>0</v>
      </c>
      <c r="EZ101" s="1">
        <v>1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2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1</v>
      </c>
      <c r="GI101" s="1">
        <v>0</v>
      </c>
      <c r="GJ101" s="1">
        <v>1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13</v>
      </c>
      <c r="IG101">
        <v>0</v>
      </c>
      <c r="IH101">
        <v>2</v>
      </c>
    </row>
    <row r="102" spans="1:242" x14ac:dyDescent="0.25">
      <c r="A102">
        <v>15871</v>
      </c>
      <c r="B102">
        <v>28</v>
      </c>
      <c r="C102">
        <v>7</v>
      </c>
      <c r="D102" t="s">
        <v>221</v>
      </c>
      <c r="E102" t="s">
        <v>220</v>
      </c>
      <c r="F102">
        <v>6</v>
      </c>
      <c r="G102">
        <v>35.844583329999999</v>
      </c>
      <c r="H102">
        <v>4.6705833329999997</v>
      </c>
      <c r="I102">
        <v>15.80617361</v>
      </c>
      <c r="J102">
        <v>97.841666669999995</v>
      </c>
      <c r="K102">
        <v>14.53333333</v>
      </c>
      <c r="L102">
        <v>61.512003970000002</v>
      </c>
      <c r="M102">
        <v>12.93557163</v>
      </c>
      <c r="N102">
        <v>-0.73899999999999999</v>
      </c>
      <c r="O102">
        <v>-1.33</v>
      </c>
      <c r="P102" t="s">
        <v>216</v>
      </c>
      <c r="Q102" t="s">
        <v>217</v>
      </c>
      <c r="R102" t="s">
        <v>217</v>
      </c>
      <c r="S102" t="s">
        <v>217</v>
      </c>
      <c r="T102" t="s">
        <v>217</v>
      </c>
      <c r="U102" t="s">
        <v>216</v>
      </c>
      <c r="V102">
        <f t="shared" si="4"/>
        <v>35</v>
      </c>
      <c r="W102">
        <f t="shared" si="5"/>
        <v>297</v>
      </c>
      <c r="X102">
        <f t="shared" si="6"/>
        <v>5</v>
      </c>
      <c r="Y102">
        <f t="shared" si="7"/>
        <v>42.428571428571431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12</v>
      </c>
      <c r="AI102" s="1">
        <v>1</v>
      </c>
      <c r="AJ102" s="1">
        <v>1</v>
      </c>
      <c r="AK102" s="1">
        <v>0</v>
      </c>
      <c r="AL102" s="1">
        <v>0</v>
      </c>
      <c r="AM102" s="1">
        <v>79</v>
      </c>
      <c r="AN102" s="1">
        <v>2</v>
      </c>
      <c r="AO102" s="1">
        <v>0</v>
      </c>
      <c r="AP102" s="1">
        <v>82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4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13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1</v>
      </c>
      <c r="BV102" s="1">
        <v>0</v>
      </c>
      <c r="BW102" s="1">
        <v>0</v>
      </c>
      <c r="BX102" s="1">
        <v>0</v>
      </c>
      <c r="BY102" s="1">
        <v>1</v>
      </c>
      <c r="BZ102" s="1">
        <v>18</v>
      </c>
      <c r="CA102" s="1">
        <v>1</v>
      </c>
      <c r="CB102" s="1">
        <v>0</v>
      </c>
      <c r="CC102" s="1">
        <v>0</v>
      </c>
      <c r="CD102" s="1">
        <v>17</v>
      </c>
      <c r="CE102" s="1">
        <v>0</v>
      </c>
      <c r="CF102" s="1">
        <v>0</v>
      </c>
      <c r="CG102" s="1">
        <v>2</v>
      </c>
      <c r="CH102" s="1">
        <v>0</v>
      </c>
      <c r="CI102" s="1">
        <v>1</v>
      </c>
      <c r="CJ102" s="1">
        <v>0</v>
      </c>
      <c r="CK102" s="1">
        <v>0</v>
      </c>
      <c r="CL102" s="1">
        <v>0</v>
      </c>
      <c r="CM102" s="1">
        <v>1</v>
      </c>
      <c r="CN102" s="1">
        <v>1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13</v>
      </c>
      <c r="CW102" s="1">
        <v>2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3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4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1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1</v>
      </c>
      <c r="FN102" s="1">
        <v>1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2</v>
      </c>
      <c r="FZ102" s="1">
        <v>0</v>
      </c>
      <c r="GA102" s="1">
        <v>0</v>
      </c>
      <c r="GB102" s="1">
        <v>4</v>
      </c>
      <c r="GC102" s="1">
        <v>0</v>
      </c>
      <c r="GD102" s="1">
        <v>0</v>
      </c>
      <c r="GE102" s="1">
        <v>2</v>
      </c>
      <c r="GF102" s="1">
        <v>1</v>
      </c>
      <c r="GG102" s="1">
        <v>0</v>
      </c>
      <c r="GH102" s="1">
        <v>0</v>
      </c>
      <c r="GI102" s="1">
        <v>0</v>
      </c>
      <c r="GJ102" s="1">
        <v>2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2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2</v>
      </c>
      <c r="GY102">
        <v>0</v>
      </c>
      <c r="GZ102">
        <v>0</v>
      </c>
      <c r="HA102">
        <v>0</v>
      </c>
      <c r="HB102">
        <v>1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2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16</v>
      </c>
    </row>
    <row r="103" spans="1:242" x14ac:dyDescent="0.25">
      <c r="A103">
        <v>15877</v>
      </c>
      <c r="B103">
        <v>9</v>
      </c>
      <c r="C103">
        <v>7</v>
      </c>
      <c r="D103" t="s">
        <v>221</v>
      </c>
      <c r="E103" t="s">
        <v>220</v>
      </c>
      <c r="F103">
        <v>5</v>
      </c>
      <c r="G103">
        <v>33.069249999999997</v>
      </c>
      <c r="H103">
        <v>6.4053333329999997</v>
      </c>
      <c r="I103">
        <v>16.240275789999998</v>
      </c>
      <c r="J103">
        <v>96.125</v>
      </c>
      <c r="K103">
        <v>17.833333329999999</v>
      </c>
      <c r="L103">
        <v>61.84707341</v>
      </c>
      <c r="M103">
        <v>12.93474309</v>
      </c>
      <c r="N103">
        <v>-0.68</v>
      </c>
      <c r="O103">
        <v>-0.98099999999999998</v>
      </c>
      <c r="P103" t="s">
        <v>217</v>
      </c>
      <c r="Q103" t="s">
        <v>217</v>
      </c>
      <c r="R103" t="s">
        <v>216</v>
      </c>
      <c r="S103" t="s">
        <v>217</v>
      </c>
      <c r="T103" t="s">
        <v>217</v>
      </c>
      <c r="U103" t="s">
        <v>216</v>
      </c>
      <c r="V103">
        <f t="shared" si="4"/>
        <v>16</v>
      </c>
      <c r="W103">
        <f t="shared" si="5"/>
        <v>86</v>
      </c>
      <c r="X103">
        <f t="shared" si="6"/>
        <v>2.2857142857142856</v>
      </c>
      <c r="Y103">
        <f t="shared" si="7"/>
        <v>12.285714285714286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1</v>
      </c>
      <c r="AJ103" s="1">
        <v>1</v>
      </c>
      <c r="AK103" s="1">
        <v>0</v>
      </c>
      <c r="AL103" s="1">
        <v>0</v>
      </c>
      <c r="AM103" s="1">
        <v>20</v>
      </c>
      <c r="AN103" s="1">
        <v>0</v>
      </c>
      <c r="AO103" s="1">
        <v>0</v>
      </c>
      <c r="AP103" s="1">
        <v>7</v>
      </c>
      <c r="AQ103" s="1">
        <v>0</v>
      </c>
      <c r="AR103" s="1">
        <v>0</v>
      </c>
      <c r="AS103" s="1">
        <v>0</v>
      </c>
      <c r="AT103" s="1">
        <v>3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2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5</v>
      </c>
      <c r="CA103" s="1">
        <v>1</v>
      </c>
      <c r="CB103" s="1">
        <v>0</v>
      </c>
      <c r="CC103" s="1">
        <v>0</v>
      </c>
      <c r="CD103" s="1">
        <v>8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1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3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28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2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1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1</v>
      </c>
      <c r="GO103" s="1">
        <v>0</v>
      </c>
      <c r="GP103" s="1">
        <v>0</v>
      </c>
      <c r="GQ103" s="1">
        <v>0</v>
      </c>
      <c r="GR103" s="1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2</v>
      </c>
    </row>
    <row r="104" spans="1:242" x14ac:dyDescent="0.25">
      <c r="A104">
        <v>15882</v>
      </c>
      <c r="B104">
        <v>25</v>
      </c>
      <c r="C104">
        <v>7</v>
      </c>
      <c r="D104" t="s">
        <v>221</v>
      </c>
      <c r="E104" t="s">
        <v>220</v>
      </c>
      <c r="F104">
        <v>8</v>
      </c>
      <c r="G104">
        <v>32.564500000000002</v>
      </c>
      <c r="H104">
        <v>8.4270833330000006</v>
      </c>
      <c r="I104">
        <v>17.463601690000001</v>
      </c>
      <c r="J104">
        <v>92.983333329999994</v>
      </c>
      <c r="K104">
        <v>20.100000000000001</v>
      </c>
      <c r="L104">
        <v>57.445386900000003</v>
      </c>
      <c r="M104">
        <v>12.932950310000001</v>
      </c>
      <c r="N104" s="8">
        <v>1.8800000000000001E-2</v>
      </c>
      <c r="O104">
        <v>-0.91100000000000003</v>
      </c>
      <c r="P104" t="s">
        <v>217</v>
      </c>
      <c r="Q104" t="s">
        <v>216</v>
      </c>
      <c r="R104" t="s">
        <v>216</v>
      </c>
      <c r="S104" t="s">
        <v>217</v>
      </c>
      <c r="T104" t="s">
        <v>217</v>
      </c>
      <c r="U104" t="s">
        <v>216</v>
      </c>
      <c r="V104">
        <f t="shared" si="4"/>
        <v>26</v>
      </c>
      <c r="W104">
        <f t="shared" si="5"/>
        <v>91</v>
      </c>
      <c r="X104">
        <f t="shared" si="6"/>
        <v>3.7142857142857144</v>
      </c>
      <c r="Y104">
        <f t="shared" si="7"/>
        <v>13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7</v>
      </c>
      <c r="AG104" s="1">
        <v>0</v>
      </c>
      <c r="AH104" s="1">
        <v>1</v>
      </c>
      <c r="AI104" s="1">
        <v>0</v>
      </c>
      <c r="AJ104" s="1">
        <v>0</v>
      </c>
      <c r="AK104" s="1">
        <v>0</v>
      </c>
      <c r="AL104" s="1">
        <v>0</v>
      </c>
      <c r="AM104" s="1">
        <v>4</v>
      </c>
      <c r="AN104" s="1">
        <v>0</v>
      </c>
      <c r="AO104" s="1">
        <v>0</v>
      </c>
      <c r="AP104" s="1">
        <v>2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3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11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7</v>
      </c>
      <c r="CA104" s="1">
        <v>7</v>
      </c>
      <c r="CB104" s="1">
        <v>1</v>
      </c>
      <c r="CC104" s="1">
        <v>0</v>
      </c>
      <c r="CD104" s="1">
        <v>16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1</v>
      </c>
      <c r="CM104" s="1">
        <v>4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2</v>
      </c>
      <c r="CU104" s="1">
        <v>0</v>
      </c>
      <c r="CV104" s="1">
        <v>3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6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4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1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1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1</v>
      </c>
      <c r="FO104" s="1">
        <v>0</v>
      </c>
      <c r="FP104" s="1">
        <v>0</v>
      </c>
      <c r="FQ104" s="1">
        <v>0</v>
      </c>
      <c r="FR104" s="1">
        <v>1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1</v>
      </c>
      <c r="FZ104" s="1">
        <v>0</v>
      </c>
      <c r="GA104" s="1">
        <v>0</v>
      </c>
      <c r="GB104" s="1">
        <v>2</v>
      </c>
      <c r="GC104" s="1">
        <v>0</v>
      </c>
      <c r="GD104" s="1">
        <v>0</v>
      </c>
      <c r="GE104" s="1">
        <v>0</v>
      </c>
      <c r="GF104" s="1">
        <v>2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1</v>
      </c>
    </row>
    <row r="105" spans="1:242" x14ac:dyDescent="0.25">
      <c r="A105">
        <v>15887</v>
      </c>
      <c r="B105">
        <v>30</v>
      </c>
      <c r="C105">
        <v>8</v>
      </c>
      <c r="D105" t="s">
        <v>221</v>
      </c>
      <c r="E105" t="s">
        <v>220</v>
      </c>
      <c r="F105">
        <v>3</v>
      </c>
      <c r="G105">
        <v>33.209166670000002</v>
      </c>
      <c r="H105">
        <v>6.54725</v>
      </c>
      <c r="I105">
        <v>16.916134419999999</v>
      </c>
      <c r="J105">
        <v>94.508333329999999</v>
      </c>
      <c r="K105">
        <v>14.125</v>
      </c>
      <c r="L105">
        <v>54.874156749999997</v>
      </c>
      <c r="M105">
        <v>12.93546229</v>
      </c>
      <c r="N105">
        <v>-0.17100000000000001</v>
      </c>
      <c r="O105">
        <v>-1.48</v>
      </c>
      <c r="P105" t="s">
        <v>217</v>
      </c>
      <c r="Q105" t="s">
        <v>217</v>
      </c>
      <c r="R105" t="s">
        <v>217</v>
      </c>
      <c r="S105" t="s">
        <v>216</v>
      </c>
      <c r="T105" t="s">
        <v>217</v>
      </c>
      <c r="U105" t="s">
        <v>217</v>
      </c>
      <c r="V105">
        <f t="shared" si="4"/>
        <v>41</v>
      </c>
      <c r="W105">
        <f t="shared" si="5"/>
        <v>344</v>
      </c>
      <c r="X105">
        <f t="shared" si="6"/>
        <v>5.125</v>
      </c>
      <c r="Y105">
        <f t="shared" si="7"/>
        <v>43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3</v>
      </c>
      <c r="AG105" s="1">
        <v>0</v>
      </c>
      <c r="AH105" s="1">
        <v>1</v>
      </c>
      <c r="AI105" s="1">
        <v>0</v>
      </c>
      <c r="AJ105" s="1">
        <v>1</v>
      </c>
      <c r="AK105" s="1">
        <v>0</v>
      </c>
      <c r="AL105" s="1">
        <v>0</v>
      </c>
      <c r="AM105" s="1">
        <v>103</v>
      </c>
      <c r="AN105" s="1">
        <v>0</v>
      </c>
      <c r="AO105" s="1">
        <v>2</v>
      </c>
      <c r="AP105" s="1">
        <v>28</v>
      </c>
      <c r="AQ105" s="1">
        <v>0</v>
      </c>
      <c r="AR105" s="1">
        <v>2</v>
      </c>
      <c r="AS105" s="1">
        <v>0</v>
      </c>
      <c r="AT105" s="1">
        <v>2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1</v>
      </c>
      <c r="BA105" s="1">
        <v>3</v>
      </c>
      <c r="BB105" s="1">
        <v>0</v>
      </c>
      <c r="BC105" s="1">
        <v>0</v>
      </c>
      <c r="BD105" s="1">
        <v>1</v>
      </c>
      <c r="BE105" s="1">
        <v>3</v>
      </c>
      <c r="BF105" s="1">
        <v>1</v>
      </c>
      <c r="BG105" s="1">
        <v>1</v>
      </c>
      <c r="BH105" s="1">
        <v>0</v>
      </c>
      <c r="BI105" s="1">
        <v>0</v>
      </c>
      <c r="BJ105" s="1">
        <v>0</v>
      </c>
      <c r="BK105" s="1">
        <v>0</v>
      </c>
      <c r="BL105" s="1">
        <v>13</v>
      </c>
      <c r="BM105" s="1">
        <v>0</v>
      </c>
      <c r="BN105" s="1">
        <v>0</v>
      </c>
      <c r="BO105" s="1">
        <v>2</v>
      </c>
      <c r="BP105" s="1">
        <v>1</v>
      </c>
      <c r="BQ105" s="1">
        <v>0</v>
      </c>
      <c r="BR105" s="1">
        <v>0</v>
      </c>
      <c r="BS105" s="1">
        <v>15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5</v>
      </c>
      <c r="BZ105" s="1">
        <v>18</v>
      </c>
      <c r="CA105" s="1">
        <v>0</v>
      </c>
      <c r="CB105" s="1">
        <v>1</v>
      </c>
      <c r="CC105" s="1">
        <v>0</v>
      </c>
      <c r="CD105" s="1">
        <v>29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2</v>
      </c>
      <c r="CN105" s="1">
        <v>0</v>
      </c>
      <c r="CO105" s="1">
        <v>0</v>
      </c>
      <c r="CP105" s="1">
        <v>0</v>
      </c>
      <c r="CQ105" s="1">
        <v>0</v>
      </c>
      <c r="CR105" s="1">
        <v>17</v>
      </c>
      <c r="CS105" s="1">
        <v>0</v>
      </c>
      <c r="CT105" s="1">
        <v>0</v>
      </c>
      <c r="CU105" s="1">
        <v>0</v>
      </c>
      <c r="CV105" s="1">
        <v>29</v>
      </c>
      <c r="CW105" s="1">
        <v>1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1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1</v>
      </c>
      <c r="DX105" s="1">
        <v>0</v>
      </c>
      <c r="DY105" s="1">
        <v>0</v>
      </c>
      <c r="DZ105" s="1">
        <v>2</v>
      </c>
      <c r="EA105" s="1">
        <v>0</v>
      </c>
      <c r="EB105" s="1">
        <v>1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8</v>
      </c>
      <c r="EI105" s="1">
        <v>0</v>
      </c>
      <c r="EJ105" s="1">
        <v>0</v>
      </c>
      <c r="EK105" s="1">
        <v>8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1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1</v>
      </c>
      <c r="FZ105" s="1">
        <v>0</v>
      </c>
      <c r="GA105" s="1">
        <v>0</v>
      </c>
      <c r="GB105" s="1">
        <v>3</v>
      </c>
      <c r="GC105" s="1">
        <v>0</v>
      </c>
      <c r="GD105" s="1">
        <v>0</v>
      </c>
      <c r="GE105" s="1">
        <v>2</v>
      </c>
      <c r="GF105" s="1">
        <v>4</v>
      </c>
      <c r="GG105" s="1">
        <v>0</v>
      </c>
      <c r="GH105" s="1">
        <v>0</v>
      </c>
      <c r="GI105" s="1">
        <v>0</v>
      </c>
      <c r="GJ105" s="1">
        <v>4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8</v>
      </c>
      <c r="IG105">
        <v>0</v>
      </c>
      <c r="IH105">
        <v>14</v>
      </c>
    </row>
    <row r="106" spans="1:242" x14ac:dyDescent="0.25">
      <c r="A106">
        <v>15892</v>
      </c>
      <c r="B106">
        <v>27</v>
      </c>
      <c r="C106">
        <v>7</v>
      </c>
      <c r="D106" t="s">
        <v>221</v>
      </c>
      <c r="E106" t="s">
        <v>220</v>
      </c>
      <c r="F106">
        <v>3</v>
      </c>
      <c r="G106">
        <v>32.365666670000003</v>
      </c>
      <c r="H106">
        <v>7.4751666669999999</v>
      </c>
      <c r="I106">
        <v>16.390468250000001</v>
      </c>
      <c r="J106">
        <v>92.933333329999996</v>
      </c>
      <c r="K106">
        <v>18.100000000000001</v>
      </c>
      <c r="L106">
        <v>57.253621029999998</v>
      </c>
      <c r="M106">
        <v>12.93501674</v>
      </c>
      <c r="N106">
        <v>-0.193</v>
      </c>
      <c r="O106">
        <v>-1.18</v>
      </c>
      <c r="P106" t="s">
        <v>217</v>
      </c>
      <c r="Q106" t="s">
        <v>217</v>
      </c>
      <c r="R106" t="s">
        <v>217</v>
      </c>
      <c r="S106" t="s">
        <v>217</v>
      </c>
      <c r="T106" t="s">
        <v>217</v>
      </c>
      <c r="U106" t="s">
        <v>216</v>
      </c>
      <c r="V106">
        <f t="shared" si="4"/>
        <v>5</v>
      </c>
      <c r="W106">
        <f t="shared" si="5"/>
        <v>16</v>
      </c>
      <c r="X106">
        <f t="shared" si="6"/>
        <v>0.7142857142857143</v>
      </c>
      <c r="Y106">
        <f t="shared" si="7"/>
        <v>2.2857142857142856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9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1</v>
      </c>
      <c r="BZ106" s="1">
        <v>2</v>
      </c>
      <c r="CA106" s="1">
        <v>0</v>
      </c>
      <c r="CB106" s="1">
        <v>0</v>
      </c>
      <c r="CC106" s="1">
        <v>0</v>
      </c>
      <c r="CD106" s="1">
        <v>3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</row>
    <row r="107" spans="1:242" x14ac:dyDescent="0.25">
      <c r="A107">
        <v>15897</v>
      </c>
      <c r="B107">
        <v>3</v>
      </c>
      <c r="C107">
        <v>7</v>
      </c>
      <c r="D107" t="s">
        <v>221</v>
      </c>
      <c r="E107" t="s">
        <v>220</v>
      </c>
      <c r="F107">
        <v>9</v>
      </c>
      <c r="G107">
        <v>33.774666670000002</v>
      </c>
      <c r="H107">
        <v>10.06891667</v>
      </c>
      <c r="I107">
        <v>17.584350690000001</v>
      </c>
      <c r="J107">
        <v>95.691666670000004</v>
      </c>
      <c r="K107">
        <v>16.891666669999999</v>
      </c>
      <c r="L107">
        <v>67.4515873</v>
      </c>
      <c r="M107">
        <v>13.16685876</v>
      </c>
      <c r="N107">
        <v>-0.122</v>
      </c>
      <c r="O107">
        <v>-0.314</v>
      </c>
      <c r="P107" t="s">
        <v>216</v>
      </c>
      <c r="Q107" t="s">
        <v>217</v>
      </c>
      <c r="R107" t="s">
        <v>217</v>
      </c>
      <c r="S107" t="s">
        <v>217</v>
      </c>
      <c r="T107" t="s">
        <v>217</v>
      </c>
      <c r="U107" t="s">
        <v>216</v>
      </c>
      <c r="V107">
        <f t="shared" si="4"/>
        <v>28</v>
      </c>
      <c r="W107">
        <f t="shared" si="5"/>
        <v>169</v>
      </c>
      <c r="X107">
        <f t="shared" si="6"/>
        <v>4</v>
      </c>
      <c r="Y107">
        <f t="shared" si="7"/>
        <v>24.142857142857142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2</v>
      </c>
      <c r="AI107" s="1">
        <v>0</v>
      </c>
      <c r="AJ107" s="1">
        <v>0</v>
      </c>
      <c r="AK107" s="1">
        <v>0</v>
      </c>
      <c r="AL107" s="1">
        <v>0</v>
      </c>
      <c r="AM107" s="1">
        <v>45</v>
      </c>
      <c r="AN107" s="1">
        <v>0</v>
      </c>
      <c r="AO107" s="1">
        <v>0</v>
      </c>
      <c r="AP107" s="1">
        <v>27</v>
      </c>
      <c r="AQ107" s="1">
        <v>0</v>
      </c>
      <c r="AR107" s="1">
        <v>2</v>
      </c>
      <c r="AS107" s="1">
        <v>1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1</v>
      </c>
      <c r="BB107" s="1">
        <v>0</v>
      </c>
      <c r="BC107" s="1">
        <v>0</v>
      </c>
      <c r="BD107" s="1">
        <v>0</v>
      </c>
      <c r="BE107" s="1">
        <v>1</v>
      </c>
      <c r="BF107" s="1">
        <v>2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7</v>
      </c>
      <c r="BM107" s="1">
        <v>0</v>
      </c>
      <c r="BN107" s="1">
        <v>0</v>
      </c>
      <c r="BO107" s="1">
        <v>2</v>
      </c>
      <c r="BP107" s="1">
        <v>1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17</v>
      </c>
      <c r="CA107" s="1">
        <v>1</v>
      </c>
      <c r="CB107" s="1">
        <v>0</v>
      </c>
      <c r="CC107" s="1">
        <v>0</v>
      </c>
      <c r="CD107" s="1">
        <v>18</v>
      </c>
      <c r="CE107" s="1">
        <v>0</v>
      </c>
      <c r="CF107" s="1">
        <v>0</v>
      </c>
      <c r="CG107" s="1">
        <v>0</v>
      </c>
      <c r="CH107" s="1">
        <v>0</v>
      </c>
      <c r="CI107" s="1">
        <v>7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4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6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1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2</v>
      </c>
      <c r="EA107" s="1">
        <v>0</v>
      </c>
      <c r="EB107" s="1">
        <v>3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1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1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1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3</v>
      </c>
      <c r="GC107" s="1">
        <v>0</v>
      </c>
      <c r="GD107" s="1">
        <v>0</v>
      </c>
      <c r="GE107" s="1">
        <v>2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1</v>
      </c>
      <c r="GQ107" s="1">
        <v>0</v>
      </c>
      <c r="GR107" s="1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9</v>
      </c>
    </row>
    <row r="108" spans="1:242" x14ac:dyDescent="0.25">
      <c r="A108">
        <v>15903</v>
      </c>
      <c r="B108">
        <v>15</v>
      </c>
      <c r="C108">
        <v>7</v>
      </c>
      <c r="D108" t="s">
        <v>221</v>
      </c>
      <c r="E108" t="s">
        <v>220</v>
      </c>
      <c r="F108">
        <v>9</v>
      </c>
      <c r="G108">
        <v>31.5045</v>
      </c>
      <c r="H108">
        <v>7.6401666669999999</v>
      </c>
      <c r="I108">
        <v>16.482646330000001</v>
      </c>
      <c r="J108">
        <v>94.025000000000006</v>
      </c>
      <c r="K108">
        <v>24.233333330000001</v>
      </c>
      <c r="L108">
        <v>65.609821429999997</v>
      </c>
      <c r="M108">
        <v>12.9275599</v>
      </c>
      <c r="N108">
        <v>-0.66300000000000003</v>
      </c>
      <c r="O108">
        <v>-0.44400000000000001</v>
      </c>
      <c r="P108" t="s">
        <v>216</v>
      </c>
      <c r="Q108" t="s">
        <v>217</v>
      </c>
      <c r="R108" t="s">
        <v>217</v>
      </c>
      <c r="S108" t="s">
        <v>217</v>
      </c>
      <c r="T108" t="s">
        <v>217</v>
      </c>
      <c r="U108" t="s">
        <v>216</v>
      </c>
      <c r="V108">
        <f t="shared" si="4"/>
        <v>24</v>
      </c>
      <c r="W108">
        <f t="shared" si="5"/>
        <v>195</v>
      </c>
      <c r="X108">
        <f t="shared" si="6"/>
        <v>3.4285714285714284</v>
      </c>
      <c r="Y108">
        <f t="shared" si="7"/>
        <v>27.857142857142858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90</v>
      </c>
      <c r="AN108" s="1">
        <v>1</v>
      </c>
      <c r="AO108" s="1">
        <v>0</v>
      </c>
      <c r="AP108" s="1">
        <v>25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2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5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32</v>
      </c>
      <c r="CA108" s="1">
        <v>0</v>
      </c>
      <c r="CB108" s="1">
        <v>1</v>
      </c>
      <c r="CC108" s="1">
        <v>0</v>
      </c>
      <c r="CD108" s="1">
        <v>6</v>
      </c>
      <c r="CE108" s="1">
        <v>0</v>
      </c>
      <c r="CF108" s="1">
        <v>0</v>
      </c>
      <c r="CG108" s="1">
        <v>0</v>
      </c>
      <c r="CH108" s="1">
        <v>0</v>
      </c>
      <c r="CI108" s="1">
        <v>4</v>
      </c>
      <c r="CJ108" s="1">
        <v>1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3</v>
      </c>
      <c r="CU108" s="1">
        <v>0</v>
      </c>
      <c r="CV108" s="1">
        <v>1</v>
      </c>
      <c r="CW108" s="1">
        <v>7</v>
      </c>
      <c r="CX108" s="1">
        <v>0</v>
      </c>
      <c r="CY108" s="1">
        <v>0</v>
      </c>
      <c r="CZ108" s="1">
        <v>0</v>
      </c>
      <c r="DA108" s="1">
        <v>0</v>
      </c>
      <c r="DB108" s="1">
        <v>4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2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1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1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1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1</v>
      </c>
      <c r="GG108" s="1">
        <v>1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1</v>
      </c>
      <c r="GQ108" s="1">
        <v>0</v>
      </c>
      <c r="GR108" s="1">
        <v>0</v>
      </c>
      <c r="GS108">
        <v>0</v>
      </c>
      <c r="GT108">
        <v>1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1</v>
      </c>
      <c r="IG108">
        <v>0</v>
      </c>
      <c r="IH108">
        <v>3</v>
      </c>
    </row>
    <row r="109" spans="1:242" x14ac:dyDescent="0.25">
      <c r="A109">
        <v>15911</v>
      </c>
      <c r="B109">
        <v>17</v>
      </c>
      <c r="C109">
        <v>7</v>
      </c>
      <c r="D109" t="s">
        <v>221</v>
      </c>
      <c r="E109" t="s">
        <v>220</v>
      </c>
      <c r="F109">
        <v>6</v>
      </c>
      <c r="G109">
        <v>34.583500000000001</v>
      </c>
      <c r="H109">
        <v>5.1252500000000003</v>
      </c>
      <c r="I109">
        <v>16.346267860000001</v>
      </c>
      <c r="J109">
        <v>94.741666670000001</v>
      </c>
      <c r="K109">
        <v>13.16666667</v>
      </c>
      <c r="L109">
        <v>56.504216270000001</v>
      </c>
      <c r="M109">
        <v>12.936529800000001</v>
      </c>
      <c r="N109">
        <v>-0.29199999999999998</v>
      </c>
      <c r="O109">
        <v>-1.65</v>
      </c>
      <c r="P109" t="s">
        <v>216</v>
      </c>
      <c r="Q109" t="s">
        <v>217</v>
      </c>
      <c r="R109" t="s">
        <v>217</v>
      </c>
      <c r="S109" t="s">
        <v>217</v>
      </c>
      <c r="T109" t="s">
        <v>217</v>
      </c>
      <c r="U109" t="s">
        <v>216</v>
      </c>
      <c r="V109">
        <f t="shared" si="4"/>
        <v>24</v>
      </c>
      <c r="W109">
        <f t="shared" si="5"/>
        <v>129</v>
      </c>
      <c r="X109">
        <f t="shared" si="6"/>
        <v>3.4285714285714284</v>
      </c>
      <c r="Y109">
        <f t="shared" si="7"/>
        <v>18.428571428571427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2</v>
      </c>
      <c r="AI109" s="1">
        <v>4</v>
      </c>
      <c r="AJ109" s="1">
        <v>0</v>
      </c>
      <c r="AK109" s="1">
        <v>1</v>
      </c>
      <c r="AL109" s="1">
        <v>0</v>
      </c>
      <c r="AM109" s="1">
        <v>32</v>
      </c>
      <c r="AN109" s="1">
        <v>0</v>
      </c>
      <c r="AO109" s="1">
        <v>0</v>
      </c>
      <c r="AP109" s="1">
        <v>15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4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1</v>
      </c>
      <c r="BZ109" s="1">
        <v>14</v>
      </c>
      <c r="CA109" s="1">
        <v>0</v>
      </c>
      <c r="CB109" s="1">
        <v>2</v>
      </c>
      <c r="CC109" s="1">
        <v>0</v>
      </c>
      <c r="CD109" s="1">
        <v>1</v>
      </c>
      <c r="CE109" s="1">
        <v>0</v>
      </c>
      <c r="CF109" s="1">
        <v>0</v>
      </c>
      <c r="CG109" s="1">
        <v>1</v>
      </c>
      <c r="CH109" s="1">
        <v>0</v>
      </c>
      <c r="CI109" s="1">
        <v>1</v>
      </c>
      <c r="CJ109" s="1">
        <v>0</v>
      </c>
      <c r="CK109" s="1">
        <v>0</v>
      </c>
      <c r="CL109" s="1">
        <v>0</v>
      </c>
      <c r="CM109" s="1">
        <v>2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2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2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1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4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1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1</v>
      </c>
      <c r="FU109" s="1">
        <v>0</v>
      </c>
      <c r="FV109" s="1">
        <v>0</v>
      </c>
      <c r="FW109" s="1">
        <v>0</v>
      </c>
      <c r="FX109" s="1">
        <v>0</v>
      </c>
      <c r="FY109" s="1">
        <v>3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32</v>
      </c>
    </row>
    <row r="110" spans="1:242" x14ac:dyDescent="0.25">
      <c r="A110">
        <v>15915</v>
      </c>
      <c r="B110">
        <v>1</v>
      </c>
      <c r="C110">
        <v>7</v>
      </c>
      <c r="D110" t="s">
        <v>224</v>
      </c>
      <c r="E110" t="s">
        <v>220</v>
      </c>
      <c r="F110">
        <v>9</v>
      </c>
      <c r="G110">
        <v>36.709083329999999</v>
      </c>
      <c r="H110">
        <v>11.952833330000001</v>
      </c>
      <c r="I110">
        <v>19.746614579999999</v>
      </c>
      <c r="J110">
        <v>93.375</v>
      </c>
      <c r="K110">
        <v>11.53333333</v>
      </c>
      <c r="L110">
        <v>53.871974209999998</v>
      </c>
      <c r="M110">
        <v>13.977532979999999</v>
      </c>
      <c r="N110">
        <v>1.45</v>
      </c>
      <c r="O110">
        <v>-0.81599999999999995</v>
      </c>
      <c r="P110" t="s">
        <v>216</v>
      </c>
      <c r="Q110" t="s">
        <v>216</v>
      </c>
      <c r="R110" t="s">
        <v>216</v>
      </c>
      <c r="S110" t="s">
        <v>216</v>
      </c>
      <c r="T110" t="s">
        <v>216</v>
      </c>
      <c r="U110" t="s">
        <v>216</v>
      </c>
      <c r="V110">
        <f t="shared" si="4"/>
        <v>45</v>
      </c>
      <c r="W110">
        <f t="shared" si="5"/>
        <v>235</v>
      </c>
      <c r="X110">
        <f t="shared" si="6"/>
        <v>6.4285714285714288</v>
      </c>
      <c r="Y110">
        <f t="shared" si="7"/>
        <v>33.571428571428569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25</v>
      </c>
      <c r="AN110" s="1">
        <v>0</v>
      </c>
      <c r="AO110" s="1">
        <v>0</v>
      </c>
      <c r="AP110" s="1">
        <v>1</v>
      </c>
      <c r="AQ110" s="1">
        <v>0</v>
      </c>
      <c r="AR110" s="1">
        <v>2</v>
      </c>
      <c r="AS110" s="1">
        <v>2</v>
      </c>
      <c r="AT110" s="1">
        <v>1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6</v>
      </c>
      <c r="BH110" s="1">
        <v>0</v>
      </c>
      <c r="BI110" s="1">
        <v>0</v>
      </c>
      <c r="BJ110" s="1">
        <v>1</v>
      </c>
      <c r="BK110" s="1">
        <v>0</v>
      </c>
      <c r="BL110" s="1">
        <v>8</v>
      </c>
      <c r="BM110" s="1">
        <v>0</v>
      </c>
      <c r="BN110" s="1">
        <v>0</v>
      </c>
      <c r="BO110" s="1">
        <v>0</v>
      </c>
      <c r="BP110" s="1">
        <v>1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1</v>
      </c>
      <c r="BX110" s="1">
        <v>0</v>
      </c>
      <c r="BY110" s="1">
        <v>0</v>
      </c>
      <c r="BZ110" s="1">
        <v>13</v>
      </c>
      <c r="CA110" s="1">
        <v>1</v>
      </c>
      <c r="CB110" s="1">
        <v>0</v>
      </c>
      <c r="CC110" s="1">
        <v>0</v>
      </c>
      <c r="CD110" s="1">
        <v>24</v>
      </c>
      <c r="CE110" s="1">
        <v>0</v>
      </c>
      <c r="CF110" s="1">
        <v>0</v>
      </c>
      <c r="CG110" s="1">
        <v>0</v>
      </c>
      <c r="CH110" s="1">
        <v>0</v>
      </c>
      <c r="CI110" s="1">
        <v>5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2</v>
      </c>
      <c r="CS110" s="1">
        <v>0</v>
      </c>
      <c r="CT110" s="1">
        <v>1</v>
      </c>
      <c r="CU110" s="1">
        <v>0</v>
      </c>
      <c r="CV110" s="1">
        <v>36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20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1</v>
      </c>
      <c r="DV110" s="1">
        <v>0</v>
      </c>
      <c r="DW110" s="1">
        <v>0</v>
      </c>
      <c r="DX110" s="1">
        <v>0</v>
      </c>
      <c r="DY110" s="1">
        <v>0</v>
      </c>
      <c r="DZ110" s="1">
        <v>7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1</v>
      </c>
      <c r="EL110" s="1">
        <v>0</v>
      </c>
      <c r="EM110" s="1">
        <v>0</v>
      </c>
      <c r="EN110" s="1">
        <v>0</v>
      </c>
      <c r="EO110" s="1">
        <v>1</v>
      </c>
      <c r="EP110" s="1">
        <v>1</v>
      </c>
      <c r="EQ110" s="1">
        <v>0</v>
      </c>
      <c r="ER110" s="1">
        <v>1</v>
      </c>
      <c r="ES110" s="1">
        <v>0</v>
      </c>
      <c r="ET110" s="1">
        <v>0</v>
      </c>
      <c r="EU110" s="1">
        <v>9</v>
      </c>
      <c r="EV110" s="1">
        <v>0</v>
      </c>
      <c r="EW110" s="1">
        <v>1</v>
      </c>
      <c r="EX110" s="1">
        <v>0</v>
      </c>
      <c r="EY110" s="1">
        <v>0</v>
      </c>
      <c r="EZ110" s="1">
        <v>4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1</v>
      </c>
      <c r="FG110" s="1">
        <v>5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11</v>
      </c>
      <c r="FN110" s="1">
        <v>0</v>
      </c>
      <c r="FO110" s="1">
        <v>0</v>
      </c>
      <c r="FP110" s="1">
        <v>0</v>
      </c>
      <c r="FQ110" s="1">
        <v>0</v>
      </c>
      <c r="FR110" s="1">
        <v>1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1</v>
      </c>
      <c r="GC110" s="1">
        <v>0</v>
      </c>
      <c r="GD110" s="1">
        <v>0</v>
      </c>
      <c r="GE110" s="1">
        <v>1</v>
      </c>
      <c r="GF110" s="1">
        <v>0</v>
      </c>
      <c r="GG110" s="1">
        <v>1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1</v>
      </c>
      <c r="GQ110" s="1">
        <v>0</v>
      </c>
      <c r="GR110" s="1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3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10</v>
      </c>
      <c r="HQ110">
        <v>1</v>
      </c>
      <c r="HR110">
        <v>4</v>
      </c>
      <c r="HS110">
        <v>3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1</v>
      </c>
      <c r="ID110">
        <v>0</v>
      </c>
      <c r="IE110">
        <v>0</v>
      </c>
      <c r="IF110">
        <v>0</v>
      </c>
      <c r="IG110">
        <v>0</v>
      </c>
      <c r="IH110">
        <v>11</v>
      </c>
    </row>
    <row r="111" spans="1:242" x14ac:dyDescent="0.25">
      <c r="A111">
        <v>15916</v>
      </c>
      <c r="B111">
        <v>5</v>
      </c>
      <c r="C111">
        <v>7</v>
      </c>
      <c r="D111" t="s">
        <v>221</v>
      </c>
      <c r="E111" t="s">
        <v>220</v>
      </c>
      <c r="F111">
        <v>3</v>
      </c>
      <c r="G111">
        <v>34.488416669999999</v>
      </c>
      <c r="H111">
        <v>6.7733333330000001</v>
      </c>
      <c r="I111">
        <v>16.802830360000002</v>
      </c>
      <c r="J111">
        <v>95.141666670000006</v>
      </c>
      <c r="K111">
        <v>17.125</v>
      </c>
      <c r="L111">
        <v>56.713938489999997</v>
      </c>
      <c r="M111">
        <v>12.93443291</v>
      </c>
      <c r="N111">
        <v>-0.188</v>
      </c>
      <c r="O111">
        <v>-1.23</v>
      </c>
      <c r="P111" t="s">
        <v>216</v>
      </c>
      <c r="Q111" t="s">
        <v>216</v>
      </c>
      <c r="R111" t="s">
        <v>216</v>
      </c>
      <c r="S111" t="s">
        <v>217</v>
      </c>
      <c r="T111" t="s">
        <v>217</v>
      </c>
      <c r="U111" t="s">
        <v>216</v>
      </c>
      <c r="V111">
        <f t="shared" si="4"/>
        <v>28</v>
      </c>
      <c r="W111">
        <f t="shared" si="5"/>
        <v>152</v>
      </c>
      <c r="X111">
        <f t="shared" si="6"/>
        <v>4</v>
      </c>
      <c r="Y111">
        <f t="shared" si="7"/>
        <v>21.714285714285715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3</v>
      </c>
      <c r="AG111" s="1">
        <v>0</v>
      </c>
      <c r="AH111" s="1">
        <v>1</v>
      </c>
      <c r="AI111" s="1">
        <v>3</v>
      </c>
      <c r="AJ111" s="1">
        <v>0</v>
      </c>
      <c r="AK111" s="1">
        <v>1</v>
      </c>
      <c r="AL111" s="1">
        <v>0</v>
      </c>
      <c r="AM111" s="1">
        <v>7</v>
      </c>
      <c r="AN111" s="1">
        <v>0</v>
      </c>
      <c r="AO111" s="1">
        <v>0</v>
      </c>
      <c r="AP111" s="1">
        <v>4</v>
      </c>
      <c r="AQ111" s="1">
        <v>0</v>
      </c>
      <c r="AR111" s="1">
        <v>2</v>
      </c>
      <c r="AS111" s="1">
        <v>1</v>
      </c>
      <c r="AT111" s="1">
        <v>2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2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3</v>
      </c>
      <c r="BH111" s="1">
        <v>0</v>
      </c>
      <c r="BI111" s="1">
        <v>0</v>
      </c>
      <c r="BJ111" s="1">
        <v>0</v>
      </c>
      <c r="BK111" s="1">
        <v>0</v>
      </c>
      <c r="BL111" s="1">
        <v>8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1</v>
      </c>
      <c r="BZ111" s="1">
        <v>18</v>
      </c>
      <c r="CA111" s="1">
        <v>3</v>
      </c>
      <c r="CB111" s="1">
        <v>1</v>
      </c>
      <c r="CC111" s="1">
        <v>0</v>
      </c>
      <c r="CD111" s="1">
        <v>7</v>
      </c>
      <c r="CE111" s="1">
        <v>0</v>
      </c>
      <c r="CF111" s="1">
        <v>0</v>
      </c>
      <c r="CG111" s="1">
        <v>0</v>
      </c>
      <c r="CH111" s="1">
        <v>0</v>
      </c>
      <c r="CI111" s="1">
        <v>9</v>
      </c>
      <c r="CJ111" s="1">
        <v>0</v>
      </c>
      <c r="CK111" s="1">
        <v>0</v>
      </c>
      <c r="CL111" s="1">
        <v>0</v>
      </c>
      <c r="CM111" s="1">
        <v>1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5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3</v>
      </c>
      <c r="FZ111" s="1">
        <v>0</v>
      </c>
      <c r="GA111" s="1">
        <v>0</v>
      </c>
      <c r="GB111" s="1">
        <v>9</v>
      </c>
      <c r="GC111" s="1">
        <v>0</v>
      </c>
      <c r="GD111" s="1">
        <v>0</v>
      </c>
      <c r="GE111" s="1">
        <v>1</v>
      </c>
      <c r="GF111" s="1">
        <v>1</v>
      </c>
      <c r="GG111" s="1">
        <v>0</v>
      </c>
      <c r="GH111" s="1">
        <v>0</v>
      </c>
      <c r="GI111" s="1">
        <v>0</v>
      </c>
      <c r="GJ111" s="1">
        <v>2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3</v>
      </c>
      <c r="IE111">
        <v>0</v>
      </c>
      <c r="IF111">
        <v>0</v>
      </c>
      <c r="IG111">
        <v>0</v>
      </c>
      <c r="IH111">
        <v>50</v>
      </c>
    </row>
    <row r="112" spans="1:242" x14ac:dyDescent="0.25">
      <c r="A112">
        <v>15921</v>
      </c>
      <c r="B112">
        <v>20</v>
      </c>
      <c r="C112">
        <v>7</v>
      </c>
      <c r="D112" t="s">
        <v>221</v>
      </c>
      <c r="E112" t="s">
        <v>220</v>
      </c>
      <c r="F112">
        <v>4</v>
      </c>
      <c r="G112">
        <v>32.377666670000004</v>
      </c>
      <c r="H112">
        <v>7.0278333330000002</v>
      </c>
      <c r="I112">
        <v>16.386236610000001</v>
      </c>
      <c r="J112">
        <v>94.141666670000006</v>
      </c>
      <c r="K112">
        <v>16.774999999999999</v>
      </c>
      <c r="L112">
        <v>58.221130950000003</v>
      </c>
      <c r="M112">
        <v>12.93505068</v>
      </c>
      <c r="N112">
        <v>-0.36299999999999999</v>
      </c>
      <c r="O112">
        <v>-1.19</v>
      </c>
      <c r="P112" t="s">
        <v>216</v>
      </c>
      <c r="Q112" t="s">
        <v>216</v>
      </c>
      <c r="R112" t="s">
        <v>217</v>
      </c>
      <c r="S112" t="s">
        <v>217</v>
      </c>
      <c r="T112" t="s">
        <v>217</v>
      </c>
      <c r="U112" t="s">
        <v>216</v>
      </c>
      <c r="V112">
        <f t="shared" si="4"/>
        <v>10</v>
      </c>
      <c r="W112">
        <f t="shared" si="5"/>
        <v>29</v>
      </c>
      <c r="X112">
        <f t="shared" si="6"/>
        <v>1.4285714285714286</v>
      </c>
      <c r="Y112">
        <f t="shared" si="7"/>
        <v>4.1428571428571432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2</v>
      </c>
      <c r="AN112" s="1">
        <v>0</v>
      </c>
      <c r="AO112" s="1">
        <v>0</v>
      </c>
      <c r="AP112" s="1">
        <v>7</v>
      </c>
      <c r="AQ112" s="1">
        <v>0</v>
      </c>
      <c r="AR112" s="1">
        <v>1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1</v>
      </c>
      <c r="BZ112" s="1">
        <v>2</v>
      </c>
      <c r="CA112" s="1">
        <v>0</v>
      </c>
      <c r="CB112" s="1">
        <v>0</v>
      </c>
      <c r="CC112" s="1">
        <v>0</v>
      </c>
      <c r="CD112" s="1">
        <v>3</v>
      </c>
      <c r="CE112" s="1">
        <v>0</v>
      </c>
      <c r="CF112" s="1">
        <v>0</v>
      </c>
      <c r="CG112" s="1">
        <v>0</v>
      </c>
      <c r="CH112" s="1">
        <v>0</v>
      </c>
      <c r="CI112" s="1">
        <v>1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1</v>
      </c>
      <c r="CS112" s="1">
        <v>0</v>
      </c>
      <c r="CT112" s="1">
        <v>0</v>
      </c>
      <c r="CU112" s="1">
        <v>0</v>
      </c>
      <c r="CV112" s="1">
        <v>10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1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</row>
    <row r="113" spans="1:242" x14ac:dyDescent="0.25">
      <c r="A113">
        <v>15926</v>
      </c>
      <c r="B113">
        <v>20</v>
      </c>
      <c r="C113">
        <v>7</v>
      </c>
      <c r="D113" t="s">
        <v>224</v>
      </c>
      <c r="E113" t="s">
        <v>220</v>
      </c>
      <c r="F113">
        <v>4</v>
      </c>
      <c r="G113">
        <v>34.28833333</v>
      </c>
      <c r="H113">
        <v>11.61683333</v>
      </c>
      <c r="I113">
        <v>19.74127927</v>
      </c>
      <c r="J113">
        <v>87.275000000000006</v>
      </c>
      <c r="K113">
        <v>7.625</v>
      </c>
      <c r="L113">
        <v>47.763888889999997</v>
      </c>
      <c r="M113">
        <v>13.98439945</v>
      </c>
      <c r="N113">
        <v>2</v>
      </c>
      <c r="O113">
        <v>-1.54</v>
      </c>
      <c r="P113" t="s">
        <v>216</v>
      </c>
      <c r="Q113" t="s">
        <v>216</v>
      </c>
      <c r="R113" t="s">
        <v>217</v>
      </c>
      <c r="S113" t="s">
        <v>217</v>
      </c>
      <c r="T113" t="s">
        <v>217</v>
      </c>
      <c r="U113" t="s">
        <v>216</v>
      </c>
      <c r="V113">
        <f t="shared" si="4"/>
        <v>14</v>
      </c>
      <c r="W113">
        <f t="shared" si="5"/>
        <v>67</v>
      </c>
      <c r="X113">
        <f t="shared" si="6"/>
        <v>2</v>
      </c>
      <c r="Y113">
        <f t="shared" si="7"/>
        <v>9.5714285714285712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24</v>
      </c>
      <c r="AN113" s="1">
        <v>2</v>
      </c>
      <c r="AO113" s="1">
        <v>0</v>
      </c>
      <c r="AP113" s="1">
        <v>1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1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4</v>
      </c>
      <c r="CA113" s="1">
        <v>2</v>
      </c>
      <c r="CB113" s="1">
        <v>0</v>
      </c>
      <c r="CC113" s="1">
        <v>0</v>
      </c>
      <c r="CD113" s="1">
        <v>2</v>
      </c>
      <c r="CE113" s="1">
        <v>0</v>
      </c>
      <c r="CF113" s="1">
        <v>0</v>
      </c>
      <c r="CG113" s="1">
        <v>1</v>
      </c>
      <c r="CH113" s="1">
        <v>0</v>
      </c>
      <c r="CI113" s="1">
        <v>1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2</v>
      </c>
      <c r="CS113" s="1">
        <v>0</v>
      </c>
      <c r="CT113" s="1">
        <v>0</v>
      </c>
      <c r="CU113" s="1">
        <v>0</v>
      </c>
      <c r="CV113" s="1">
        <v>22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2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2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1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</row>
    <row r="114" spans="1:242" x14ac:dyDescent="0.25">
      <c r="A114">
        <v>15927</v>
      </c>
      <c r="B114">
        <v>10</v>
      </c>
      <c r="C114">
        <v>7</v>
      </c>
      <c r="D114" t="s">
        <v>221</v>
      </c>
      <c r="E114" t="s">
        <v>220</v>
      </c>
      <c r="F114">
        <v>8</v>
      </c>
      <c r="G114">
        <v>34.814500000000002</v>
      </c>
      <c r="H114">
        <v>6.4562499999999998</v>
      </c>
      <c r="I114">
        <v>17.390911209999999</v>
      </c>
      <c r="J114">
        <v>94.291666669999998</v>
      </c>
      <c r="K114">
        <v>18.766666669999999</v>
      </c>
      <c r="L114">
        <v>60.151140869999999</v>
      </c>
      <c r="M114">
        <v>12.931925570000001</v>
      </c>
      <c r="N114">
        <v>-0.13300000000000001</v>
      </c>
      <c r="O114">
        <v>-1.04</v>
      </c>
      <c r="P114" t="s">
        <v>216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V114">
        <f t="shared" si="4"/>
        <v>8</v>
      </c>
      <c r="W114">
        <f t="shared" si="5"/>
        <v>20</v>
      </c>
      <c r="X114">
        <f t="shared" si="6"/>
        <v>1.1428571428571428</v>
      </c>
      <c r="Y114">
        <f t="shared" si="7"/>
        <v>2.8571428571428572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5</v>
      </c>
      <c r="AN114" s="1">
        <v>0</v>
      </c>
      <c r="AO114" s="1">
        <v>0</v>
      </c>
      <c r="AP114" s="1">
        <v>5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4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2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1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1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1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</row>
    <row r="115" spans="1:242" x14ac:dyDescent="0.25">
      <c r="A115">
        <v>15932</v>
      </c>
      <c r="B115">
        <v>22</v>
      </c>
      <c r="C115">
        <v>7</v>
      </c>
      <c r="D115" t="s">
        <v>221</v>
      </c>
      <c r="E115" t="s">
        <v>220</v>
      </c>
      <c r="F115">
        <v>5</v>
      </c>
      <c r="G115">
        <v>34.022833329999997</v>
      </c>
      <c r="H115">
        <v>7.6632499999999997</v>
      </c>
      <c r="I115">
        <v>16.97360574</v>
      </c>
      <c r="J115">
        <v>93.133333329999999</v>
      </c>
      <c r="K115">
        <v>16.633333329999999</v>
      </c>
      <c r="L115">
        <v>56.797181639999998</v>
      </c>
      <c r="M115">
        <v>12.933826850000001</v>
      </c>
      <c r="N115" s="8">
        <v>8.09E-2</v>
      </c>
      <c r="O115">
        <v>-1.23</v>
      </c>
      <c r="P115" t="s">
        <v>217</v>
      </c>
      <c r="Q115" t="s">
        <v>216</v>
      </c>
      <c r="R115" t="s">
        <v>216</v>
      </c>
      <c r="S115" t="s">
        <v>217</v>
      </c>
      <c r="T115" t="s">
        <v>217</v>
      </c>
      <c r="U115" t="s">
        <v>217</v>
      </c>
      <c r="V115">
        <f t="shared" si="4"/>
        <v>24</v>
      </c>
      <c r="W115">
        <f t="shared" si="5"/>
        <v>93</v>
      </c>
      <c r="X115">
        <f t="shared" si="6"/>
        <v>3.4285714285714284</v>
      </c>
      <c r="Y115">
        <f t="shared" si="7"/>
        <v>13.285714285714286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6</v>
      </c>
      <c r="AI115" s="1">
        <v>2</v>
      </c>
      <c r="AJ115" s="1">
        <v>0</v>
      </c>
      <c r="AK115" s="1">
        <v>1</v>
      </c>
      <c r="AL115" s="1">
        <v>0</v>
      </c>
      <c r="AM115" s="1">
        <v>6</v>
      </c>
      <c r="AN115" s="1">
        <v>0</v>
      </c>
      <c r="AO115" s="1">
        <v>0</v>
      </c>
      <c r="AP115" s="1">
        <v>4</v>
      </c>
      <c r="AQ115" s="1">
        <v>0</v>
      </c>
      <c r="AR115" s="1">
        <v>1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7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4</v>
      </c>
      <c r="BH115" s="1">
        <v>0</v>
      </c>
      <c r="BI115" s="1">
        <v>0</v>
      </c>
      <c r="BJ115" s="1">
        <v>0</v>
      </c>
      <c r="BK115" s="1">
        <v>0</v>
      </c>
      <c r="BL115" s="1">
        <v>7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21</v>
      </c>
      <c r="CA115" s="1">
        <v>3</v>
      </c>
      <c r="CB115" s="1">
        <v>1</v>
      </c>
      <c r="CC115" s="1">
        <v>0</v>
      </c>
      <c r="CD115" s="1">
        <v>4</v>
      </c>
      <c r="CE115" s="1">
        <v>0</v>
      </c>
      <c r="CF115" s="1">
        <v>0</v>
      </c>
      <c r="CG115" s="1">
        <v>0</v>
      </c>
      <c r="CH115" s="1">
        <v>0</v>
      </c>
      <c r="CI115" s="1">
        <v>1</v>
      </c>
      <c r="CJ115" s="1">
        <v>0</v>
      </c>
      <c r="CK115" s="1">
        <v>0</v>
      </c>
      <c r="CL115" s="1">
        <v>0</v>
      </c>
      <c r="CM115" s="1">
        <v>1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2</v>
      </c>
      <c r="CU115" s="1">
        <v>0</v>
      </c>
      <c r="CV115" s="1">
        <v>1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3</v>
      </c>
      <c r="FZ115" s="1">
        <v>0</v>
      </c>
      <c r="GA115" s="1">
        <v>0</v>
      </c>
      <c r="GB115" s="1">
        <v>3</v>
      </c>
      <c r="GC115" s="1">
        <v>0</v>
      </c>
      <c r="GD115" s="1">
        <v>0</v>
      </c>
      <c r="GE115" s="1">
        <v>3</v>
      </c>
      <c r="GF115" s="1">
        <v>4</v>
      </c>
      <c r="GG115" s="1">
        <v>0</v>
      </c>
      <c r="GH115" s="1">
        <v>0</v>
      </c>
      <c r="GI115" s="1">
        <v>0</v>
      </c>
      <c r="GJ115" s="1">
        <v>3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4</v>
      </c>
      <c r="IG115">
        <v>0</v>
      </c>
      <c r="IH115">
        <v>0</v>
      </c>
    </row>
    <row r="116" spans="1:242" x14ac:dyDescent="0.25">
      <c r="A116">
        <v>15936</v>
      </c>
      <c r="B116">
        <v>22</v>
      </c>
      <c r="C116">
        <v>10</v>
      </c>
      <c r="D116" t="s">
        <v>224</v>
      </c>
      <c r="E116" t="s">
        <v>220</v>
      </c>
      <c r="F116">
        <v>5</v>
      </c>
      <c r="G116">
        <v>35.783083329999997</v>
      </c>
      <c r="H116">
        <v>12.271750000000001</v>
      </c>
      <c r="I116">
        <v>22.49205456</v>
      </c>
      <c r="J116">
        <v>86.608333329999994</v>
      </c>
      <c r="K116">
        <v>9.5333333329999999</v>
      </c>
      <c r="L116">
        <v>39.599454369999997</v>
      </c>
      <c r="M116">
        <v>13.80419745</v>
      </c>
      <c r="N116">
        <v>2.79</v>
      </c>
      <c r="O116">
        <v>-1.64</v>
      </c>
      <c r="P116" t="s">
        <v>217</v>
      </c>
      <c r="Q116" t="s">
        <v>216</v>
      </c>
      <c r="R116" t="s">
        <v>216</v>
      </c>
      <c r="S116" t="s">
        <v>217</v>
      </c>
      <c r="T116" t="s">
        <v>217</v>
      </c>
      <c r="U116" t="s">
        <v>217</v>
      </c>
      <c r="V116">
        <f t="shared" si="4"/>
        <v>30</v>
      </c>
      <c r="W116">
        <f t="shared" si="5"/>
        <v>188</v>
      </c>
      <c r="X116">
        <f t="shared" si="6"/>
        <v>3</v>
      </c>
      <c r="Y116">
        <f t="shared" si="7"/>
        <v>18.8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5</v>
      </c>
      <c r="AI116" s="1">
        <v>0</v>
      </c>
      <c r="AJ116" s="1">
        <v>0</v>
      </c>
      <c r="AK116" s="1">
        <v>1</v>
      </c>
      <c r="AL116" s="1">
        <v>0</v>
      </c>
      <c r="AM116" s="1">
        <v>10</v>
      </c>
      <c r="AN116" s="1">
        <v>0</v>
      </c>
      <c r="AO116" s="1">
        <v>0</v>
      </c>
      <c r="AP116" s="1">
        <v>5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2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4</v>
      </c>
      <c r="BH116" s="1">
        <v>0</v>
      </c>
      <c r="BI116" s="1">
        <v>0</v>
      </c>
      <c r="BJ116" s="1">
        <v>0</v>
      </c>
      <c r="BK116" s="1">
        <v>0</v>
      </c>
      <c r="BL116" s="1">
        <v>20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32</v>
      </c>
      <c r="CA116" s="1">
        <v>32</v>
      </c>
      <c r="CB116" s="1">
        <v>0</v>
      </c>
      <c r="CC116" s="1">
        <v>0</v>
      </c>
      <c r="CD116" s="1">
        <v>6</v>
      </c>
      <c r="CE116" s="1">
        <v>0</v>
      </c>
      <c r="CF116" s="1">
        <v>0</v>
      </c>
      <c r="CG116" s="1">
        <v>0</v>
      </c>
      <c r="CH116" s="1">
        <v>0</v>
      </c>
      <c r="CI116" s="1">
        <v>1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1</v>
      </c>
      <c r="CP116" s="1">
        <v>0</v>
      </c>
      <c r="CQ116" s="1">
        <v>0</v>
      </c>
      <c r="CR116" s="1">
        <v>0</v>
      </c>
      <c r="CS116" s="1">
        <v>0</v>
      </c>
      <c r="CT116" s="1">
        <v>3</v>
      </c>
      <c r="CU116" s="1">
        <v>0</v>
      </c>
      <c r="CV116" s="1">
        <v>13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5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1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1</v>
      </c>
      <c r="FG116" s="1">
        <v>2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5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4</v>
      </c>
      <c r="FZ116" s="1">
        <v>0</v>
      </c>
      <c r="GA116" s="1">
        <v>1</v>
      </c>
      <c r="GB116" s="1">
        <v>0</v>
      </c>
      <c r="GC116" s="1">
        <v>0</v>
      </c>
      <c r="GD116" s="1">
        <v>0</v>
      </c>
      <c r="GE116" s="1">
        <v>5</v>
      </c>
      <c r="GF116" s="1">
        <v>4</v>
      </c>
      <c r="GG116" s="1">
        <v>0</v>
      </c>
      <c r="GH116" s="1">
        <v>0</v>
      </c>
      <c r="GI116" s="1">
        <v>0</v>
      </c>
      <c r="GJ116" s="1">
        <v>3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2</v>
      </c>
      <c r="HF116">
        <v>0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1</v>
      </c>
      <c r="HM116">
        <v>0</v>
      </c>
      <c r="HN116">
        <v>0</v>
      </c>
      <c r="HO116">
        <v>0</v>
      </c>
      <c r="HP116">
        <v>4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13</v>
      </c>
      <c r="IG116">
        <v>0</v>
      </c>
      <c r="IH116">
        <v>0</v>
      </c>
    </row>
    <row r="117" spans="1:242" x14ac:dyDescent="0.25">
      <c r="A117">
        <v>15939</v>
      </c>
      <c r="B117">
        <v>6</v>
      </c>
      <c r="C117">
        <v>16</v>
      </c>
      <c r="D117" t="s">
        <v>221</v>
      </c>
      <c r="E117" t="s">
        <v>220</v>
      </c>
      <c r="F117">
        <v>4</v>
      </c>
      <c r="G117">
        <v>33.471833330000003</v>
      </c>
      <c r="H117">
        <v>10.57516667</v>
      </c>
      <c r="I117">
        <v>17.849922119999999</v>
      </c>
      <c r="J117">
        <v>92.458333330000002</v>
      </c>
      <c r="K117">
        <v>14.30833333</v>
      </c>
      <c r="L117">
        <v>60.447420630000003</v>
      </c>
      <c r="M117">
        <v>13.170189819999999</v>
      </c>
      <c r="N117">
        <v>0.47299999999999998</v>
      </c>
      <c r="O117">
        <v>-0.81399999999999995</v>
      </c>
      <c r="P117" t="s">
        <v>216</v>
      </c>
      <c r="Q117" t="s">
        <v>217</v>
      </c>
      <c r="R117" t="s">
        <v>217</v>
      </c>
      <c r="S117" t="s">
        <v>217</v>
      </c>
      <c r="T117" t="s">
        <v>217</v>
      </c>
      <c r="U117" t="s">
        <v>216</v>
      </c>
      <c r="V117">
        <f t="shared" si="4"/>
        <v>74</v>
      </c>
      <c r="W117">
        <f t="shared" si="5"/>
        <v>518</v>
      </c>
      <c r="X117">
        <f t="shared" si="6"/>
        <v>4.625</v>
      </c>
      <c r="Y117">
        <f t="shared" si="7"/>
        <v>32.375</v>
      </c>
      <c r="Z117" s="1">
        <v>0</v>
      </c>
      <c r="AA117" s="1">
        <v>2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7</v>
      </c>
      <c r="AI117" s="1">
        <v>1</v>
      </c>
      <c r="AJ117" s="1">
        <v>0</v>
      </c>
      <c r="AK117" s="1">
        <v>1</v>
      </c>
      <c r="AL117" s="1">
        <v>0</v>
      </c>
      <c r="AM117" s="1">
        <v>75</v>
      </c>
      <c r="AN117" s="1">
        <v>20</v>
      </c>
      <c r="AO117" s="1">
        <v>5</v>
      </c>
      <c r="AP117" s="1">
        <v>13</v>
      </c>
      <c r="AQ117" s="1">
        <v>2</v>
      </c>
      <c r="AR117" s="1">
        <v>5</v>
      </c>
      <c r="AS117" s="1">
        <v>0</v>
      </c>
      <c r="AT117" s="1">
        <v>2</v>
      </c>
      <c r="AU117" s="1">
        <v>0</v>
      </c>
      <c r="AV117" s="1">
        <v>0</v>
      </c>
      <c r="AW117" s="1">
        <v>0</v>
      </c>
      <c r="AX117" s="1">
        <v>1</v>
      </c>
      <c r="AY117" s="1">
        <v>0</v>
      </c>
      <c r="AZ117" s="1">
        <v>0</v>
      </c>
      <c r="BA117" s="1">
        <v>8</v>
      </c>
      <c r="BB117" s="1">
        <v>0</v>
      </c>
      <c r="BC117" s="1">
        <v>0</v>
      </c>
      <c r="BD117" s="1">
        <v>0</v>
      </c>
      <c r="BE117" s="1">
        <v>0</v>
      </c>
      <c r="BF117" s="1">
        <v>12</v>
      </c>
      <c r="BG117" s="1">
        <v>9</v>
      </c>
      <c r="BH117" s="1">
        <v>0</v>
      </c>
      <c r="BI117" s="1">
        <v>0</v>
      </c>
      <c r="BJ117" s="1">
        <v>0</v>
      </c>
      <c r="BK117" s="1">
        <v>0</v>
      </c>
      <c r="BL117" s="1">
        <v>13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1</v>
      </c>
      <c r="BX117" s="1">
        <v>0</v>
      </c>
      <c r="BY117" s="1">
        <v>17</v>
      </c>
      <c r="BZ117" s="1">
        <v>26</v>
      </c>
      <c r="CA117" s="1">
        <v>1</v>
      </c>
      <c r="CB117" s="1">
        <v>8</v>
      </c>
      <c r="CC117" s="1">
        <v>0</v>
      </c>
      <c r="CD117" s="1">
        <v>13</v>
      </c>
      <c r="CE117" s="1">
        <v>0</v>
      </c>
      <c r="CF117" s="1">
        <v>0</v>
      </c>
      <c r="CG117" s="1">
        <v>16</v>
      </c>
      <c r="CH117" s="1">
        <v>0</v>
      </c>
      <c r="CI117" s="1">
        <v>6</v>
      </c>
      <c r="CJ117" s="1">
        <v>0</v>
      </c>
      <c r="CK117" s="1">
        <v>0</v>
      </c>
      <c r="CL117" s="1">
        <v>0</v>
      </c>
      <c r="CM117" s="1">
        <v>1</v>
      </c>
      <c r="CN117" s="1">
        <v>0</v>
      </c>
      <c r="CO117" s="1">
        <v>0</v>
      </c>
      <c r="CP117" s="1">
        <v>0</v>
      </c>
      <c r="CQ117" s="1">
        <v>0</v>
      </c>
      <c r="CR117" s="1">
        <v>1</v>
      </c>
      <c r="CS117" s="1">
        <v>0</v>
      </c>
      <c r="CT117" s="1">
        <v>0</v>
      </c>
      <c r="CU117" s="1">
        <v>0</v>
      </c>
      <c r="CV117" s="1">
        <v>50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12</v>
      </c>
      <c r="DC117" s="1">
        <v>2</v>
      </c>
      <c r="DD117" s="1">
        <v>0</v>
      </c>
      <c r="DE117" s="1">
        <v>0</v>
      </c>
      <c r="DF117" s="1">
        <v>0</v>
      </c>
      <c r="DG117" s="1">
        <v>16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10</v>
      </c>
      <c r="DP117" s="1">
        <v>1</v>
      </c>
      <c r="DQ117" s="1">
        <v>0</v>
      </c>
      <c r="DR117" s="1">
        <v>0</v>
      </c>
      <c r="DS117" s="1">
        <v>3</v>
      </c>
      <c r="DT117" s="1">
        <v>0</v>
      </c>
      <c r="DU117" s="1">
        <v>0</v>
      </c>
      <c r="DV117" s="1">
        <v>2</v>
      </c>
      <c r="DW117" s="1">
        <v>7</v>
      </c>
      <c r="DX117" s="1">
        <v>0</v>
      </c>
      <c r="DY117" s="1">
        <v>0</v>
      </c>
      <c r="DZ117" s="1">
        <v>14</v>
      </c>
      <c r="EA117" s="1">
        <v>0</v>
      </c>
      <c r="EB117" s="1">
        <v>18</v>
      </c>
      <c r="EC117" s="1">
        <v>0</v>
      </c>
      <c r="ED117" s="1">
        <v>3</v>
      </c>
      <c r="EE117" s="1">
        <v>0</v>
      </c>
      <c r="EF117" s="1">
        <v>3</v>
      </c>
      <c r="EG117" s="1">
        <v>0</v>
      </c>
      <c r="EH117" s="1">
        <v>17</v>
      </c>
      <c r="EI117" s="1">
        <v>0</v>
      </c>
      <c r="EJ117" s="1">
        <v>0</v>
      </c>
      <c r="EK117" s="1">
        <v>16</v>
      </c>
      <c r="EL117" s="1">
        <v>0</v>
      </c>
      <c r="EM117" s="1">
        <v>0</v>
      </c>
      <c r="EN117" s="1">
        <v>1</v>
      </c>
      <c r="EO117" s="1">
        <v>0</v>
      </c>
      <c r="EP117" s="1">
        <v>9</v>
      </c>
      <c r="EQ117" s="1">
        <v>0</v>
      </c>
      <c r="ER117" s="1">
        <v>1</v>
      </c>
      <c r="ES117" s="1">
        <v>0</v>
      </c>
      <c r="ET117" s="1">
        <v>1</v>
      </c>
      <c r="EU117" s="1">
        <v>3</v>
      </c>
      <c r="EV117" s="1">
        <v>0</v>
      </c>
      <c r="EW117" s="1">
        <v>0</v>
      </c>
      <c r="EX117" s="1">
        <v>0</v>
      </c>
      <c r="EY117" s="1">
        <v>0</v>
      </c>
      <c r="EZ117" s="1">
        <v>1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2</v>
      </c>
      <c r="FH117" s="1">
        <v>0</v>
      </c>
      <c r="FI117" s="1">
        <v>1</v>
      </c>
      <c r="FJ117" s="1">
        <v>0</v>
      </c>
      <c r="FK117" s="1">
        <v>0</v>
      </c>
      <c r="FL117" s="1">
        <v>0</v>
      </c>
      <c r="FM117" s="1">
        <v>2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1</v>
      </c>
      <c r="FT117" s="1">
        <v>4</v>
      </c>
      <c r="FU117" s="1">
        <v>0</v>
      </c>
      <c r="FV117" s="1">
        <v>0</v>
      </c>
      <c r="FW117" s="1">
        <v>0</v>
      </c>
      <c r="FX117" s="1">
        <v>0</v>
      </c>
      <c r="FY117" s="1">
        <v>1</v>
      </c>
      <c r="FZ117" s="1">
        <v>0</v>
      </c>
      <c r="GA117" s="1">
        <v>0</v>
      </c>
      <c r="GB117" s="1">
        <v>2</v>
      </c>
      <c r="GC117" s="1">
        <v>0</v>
      </c>
      <c r="GD117" s="1">
        <v>1</v>
      </c>
      <c r="GE117" s="1">
        <v>2</v>
      </c>
      <c r="GF117" s="1">
        <v>1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>
        <v>0</v>
      </c>
      <c r="GT117">
        <v>0</v>
      </c>
      <c r="GU117">
        <v>0</v>
      </c>
      <c r="GV117">
        <v>5</v>
      </c>
      <c r="GW117">
        <v>0</v>
      </c>
      <c r="GX117">
        <v>11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2</v>
      </c>
      <c r="HF117">
        <v>0</v>
      </c>
      <c r="HG117">
        <v>7</v>
      </c>
      <c r="HH117">
        <v>0</v>
      </c>
      <c r="HI117">
        <v>2</v>
      </c>
      <c r="HJ117">
        <v>0</v>
      </c>
      <c r="HK117">
        <v>3</v>
      </c>
      <c r="HL117">
        <v>1</v>
      </c>
      <c r="HM117">
        <v>0</v>
      </c>
      <c r="HN117">
        <v>0</v>
      </c>
      <c r="HO117">
        <v>0</v>
      </c>
      <c r="HP117">
        <v>1</v>
      </c>
      <c r="HQ117">
        <v>1</v>
      </c>
      <c r="HR117">
        <v>0</v>
      </c>
      <c r="HS117">
        <v>1</v>
      </c>
      <c r="HT117">
        <v>0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1</v>
      </c>
      <c r="ID117">
        <v>0</v>
      </c>
      <c r="IE117">
        <v>1</v>
      </c>
      <c r="IF117">
        <v>4</v>
      </c>
      <c r="IG117">
        <v>0</v>
      </c>
      <c r="IH117">
        <v>2</v>
      </c>
    </row>
    <row r="118" spans="1:242" x14ac:dyDescent="0.25">
      <c r="A118">
        <v>15943</v>
      </c>
      <c r="B118">
        <v>12</v>
      </c>
      <c r="C118">
        <v>7</v>
      </c>
      <c r="D118" t="s">
        <v>221</v>
      </c>
      <c r="E118" t="s">
        <v>220</v>
      </c>
      <c r="F118">
        <v>8</v>
      </c>
      <c r="G118">
        <v>34.095833329999998</v>
      </c>
      <c r="H118">
        <v>7.2569166669999996</v>
      </c>
      <c r="I118">
        <v>16.98891347</v>
      </c>
      <c r="J118">
        <v>95.875</v>
      </c>
      <c r="K118">
        <v>19.524999999999999</v>
      </c>
      <c r="L118">
        <v>60.239177490000003</v>
      </c>
      <c r="M118">
        <v>12.932971269999999</v>
      </c>
      <c r="N118">
        <v>-0.35599999999999998</v>
      </c>
      <c r="O118">
        <v>-0.86099999999999999</v>
      </c>
      <c r="P118" t="s">
        <v>217</v>
      </c>
      <c r="Q118" t="s">
        <v>217</v>
      </c>
      <c r="R118" t="s">
        <v>217</v>
      </c>
      <c r="S118" t="s">
        <v>217</v>
      </c>
      <c r="T118" t="s">
        <v>217</v>
      </c>
      <c r="U118" t="s">
        <v>217</v>
      </c>
      <c r="V118">
        <f t="shared" si="4"/>
        <v>25</v>
      </c>
      <c r="W118">
        <f t="shared" si="5"/>
        <v>173</v>
      </c>
      <c r="X118">
        <f t="shared" si="6"/>
        <v>3.5714285714285716</v>
      </c>
      <c r="Y118">
        <f t="shared" si="7"/>
        <v>24.714285714285715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22</v>
      </c>
      <c r="AI118" s="1">
        <v>7</v>
      </c>
      <c r="AJ118" s="1">
        <v>0</v>
      </c>
      <c r="AK118" s="1">
        <v>0</v>
      </c>
      <c r="AL118" s="1">
        <v>0</v>
      </c>
      <c r="AM118" s="1">
        <v>20</v>
      </c>
      <c r="AN118" s="1">
        <v>0</v>
      </c>
      <c r="AO118" s="1">
        <v>0</v>
      </c>
      <c r="AP118" s="1">
        <v>6</v>
      </c>
      <c r="AQ118" s="1">
        <v>0</v>
      </c>
      <c r="AR118" s="1">
        <v>1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3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2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40</v>
      </c>
      <c r="CA118" s="1">
        <v>1</v>
      </c>
      <c r="CB118" s="1">
        <v>0</v>
      </c>
      <c r="CC118" s="1">
        <v>0</v>
      </c>
      <c r="CD118" s="1">
        <v>11</v>
      </c>
      <c r="CE118" s="1">
        <v>0</v>
      </c>
      <c r="CF118" s="1">
        <v>0</v>
      </c>
      <c r="CG118" s="1">
        <v>0</v>
      </c>
      <c r="CH118" s="1">
        <v>0</v>
      </c>
      <c r="CI118" s="1">
        <v>2</v>
      </c>
      <c r="CJ118" s="1">
        <v>0</v>
      </c>
      <c r="CK118" s="1">
        <v>0</v>
      </c>
      <c r="CL118" s="1">
        <v>0</v>
      </c>
      <c r="CM118" s="1">
        <v>2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1</v>
      </c>
      <c r="CU118" s="1">
        <v>0</v>
      </c>
      <c r="CV118" s="1">
        <v>5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2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1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6</v>
      </c>
      <c r="FZ118" s="1">
        <v>0</v>
      </c>
      <c r="GA118" s="1">
        <v>0</v>
      </c>
      <c r="GB118" s="1">
        <v>8</v>
      </c>
      <c r="GC118" s="1">
        <v>0</v>
      </c>
      <c r="GD118" s="1">
        <v>0</v>
      </c>
      <c r="GE118" s="1">
        <v>5</v>
      </c>
      <c r="GF118" s="1">
        <v>3</v>
      </c>
      <c r="GG118" s="1">
        <v>3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2</v>
      </c>
      <c r="GS118">
        <v>0</v>
      </c>
      <c r="GT118">
        <v>0</v>
      </c>
      <c r="GU118">
        <v>0</v>
      </c>
      <c r="GV118">
        <v>1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1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18</v>
      </c>
    </row>
    <row r="119" spans="1:242" x14ac:dyDescent="0.25">
      <c r="A119">
        <v>15948</v>
      </c>
      <c r="B119">
        <v>12</v>
      </c>
      <c r="C119">
        <v>7</v>
      </c>
      <c r="D119" t="s">
        <v>224</v>
      </c>
      <c r="E119" t="s">
        <v>220</v>
      </c>
      <c r="F119">
        <v>8</v>
      </c>
      <c r="G119">
        <v>37.339833329999998</v>
      </c>
      <c r="H119">
        <v>12.11616667</v>
      </c>
      <c r="I119">
        <v>20.755817960000002</v>
      </c>
      <c r="J119">
        <v>88.358333329999994</v>
      </c>
      <c r="K119">
        <v>7.5750000000000002</v>
      </c>
      <c r="L119">
        <v>47.550099209999999</v>
      </c>
      <c r="M119">
        <v>13.97965724</v>
      </c>
      <c r="N119">
        <v>2.39</v>
      </c>
      <c r="O119">
        <v>-1.44</v>
      </c>
      <c r="P119" t="s">
        <v>217</v>
      </c>
      <c r="Q119" t="s">
        <v>217</v>
      </c>
      <c r="R119" t="s">
        <v>217</v>
      </c>
      <c r="S119" t="s">
        <v>217</v>
      </c>
      <c r="T119" t="s">
        <v>217</v>
      </c>
      <c r="U119" t="s">
        <v>217</v>
      </c>
      <c r="V119">
        <f t="shared" si="4"/>
        <v>27</v>
      </c>
      <c r="W119">
        <f t="shared" si="5"/>
        <v>122</v>
      </c>
      <c r="X119">
        <f t="shared" si="6"/>
        <v>3.8571428571428572</v>
      </c>
      <c r="Y119">
        <f t="shared" si="7"/>
        <v>17.428571428571427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  <c r="AI119" s="1">
        <v>1</v>
      </c>
      <c r="AJ119" s="1">
        <v>0</v>
      </c>
      <c r="AK119" s="1">
        <v>1</v>
      </c>
      <c r="AL119" s="1">
        <v>0</v>
      </c>
      <c r="AM119" s="1">
        <v>8</v>
      </c>
      <c r="AN119" s="1">
        <v>2</v>
      </c>
      <c r="AO119" s="1">
        <v>0</v>
      </c>
      <c r="AP119" s="1">
        <v>0</v>
      </c>
      <c r="AQ119" s="1">
        <v>0</v>
      </c>
      <c r="AR119" s="1">
        <v>1</v>
      </c>
      <c r="AS119" s="1">
        <v>2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2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1</v>
      </c>
      <c r="BZ119" s="1">
        <v>30</v>
      </c>
      <c r="CA119" s="1">
        <v>5</v>
      </c>
      <c r="CB119" s="1">
        <v>0</v>
      </c>
      <c r="CC119" s="1">
        <v>0</v>
      </c>
      <c r="CD119" s="1">
        <v>9</v>
      </c>
      <c r="CE119" s="1">
        <v>0</v>
      </c>
      <c r="CF119" s="1">
        <v>0</v>
      </c>
      <c r="CG119" s="1">
        <v>0</v>
      </c>
      <c r="CH119" s="1">
        <v>0</v>
      </c>
      <c r="CI119" s="1">
        <v>12</v>
      </c>
      <c r="CJ119" s="1">
        <v>0</v>
      </c>
      <c r="CK119" s="1">
        <v>0</v>
      </c>
      <c r="CL119" s="1">
        <v>0</v>
      </c>
      <c r="CM119" s="1">
        <v>5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19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3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2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4</v>
      </c>
      <c r="ES119" s="1">
        <v>0</v>
      </c>
      <c r="ET119" s="1">
        <v>0</v>
      </c>
      <c r="EU119" s="1">
        <v>1</v>
      </c>
      <c r="EV119" s="1">
        <v>0</v>
      </c>
      <c r="EW119" s="1">
        <v>0</v>
      </c>
      <c r="EX119" s="1">
        <v>0</v>
      </c>
      <c r="EY119" s="1">
        <v>0</v>
      </c>
      <c r="EZ119" s="1">
        <v>1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1</v>
      </c>
      <c r="FN119" s="1">
        <v>0</v>
      </c>
      <c r="FO119" s="1">
        <v>0</v>
      </c>
      <c r="FP119" s="1">
        <v>0</v>
      </c>
      <c r="FQ119" s="1">
        <v>0</v>
      </c>
      <c r="FR119" s="1">
        <v>1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4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1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1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1</v>
      </c>
      <c r="IG119">
        <v>0</v>
      </c>
      <c r="IH119">
        <v>3</v>
      </c>
    </row>
    <row r="120" spans="1:242" x14ac:dyDescent="0.25">
      <c r="A120">
        <v>15950</v>
      </c>
      <c r="B120">
        <v>4</v>
      </c>
      <c r="C120">
        <v>6</v>
      </c>
      <c r="D120" t="s">
        <v>221</v>
      </c>
      <c r="E120" t="s">
        <v>220</v>
      </c>
      <c r="F120">
        <v>4</v>
      </c>
      <c r="G120">
        <v>31.262250000000002</v>
      </c>
      <c r="H120">
        <v>6.857583333</v>
      </c>
      <c r="I120">
        <v>15.776473210000001</v>
      </c>
      <c r="J120">
        <v>96.408333330000005</v>
      </c>
      <c r="K120">
        <v>17.875</v>
      </c>
      <c r="L120">
        <v>60.301934520000003</v>
      </c>
      <c r="M120">
        <v>12.935218519999999</v>
      </c>
      <c r="N120">
        <v>-0.87</v>
      </c>
      <c r="O120">
        <v>-0.98399999999999999</v>
      </c>
      <c r="P120" t="s">
        <v>216</v>
      </c>
      <c r="Q120" t="s">
        <v>217</v>
      </c>
      <c r="R120" t="s">
        <v>216</v>
      </c>
      <c r="S120" t="s">
        <v>217</v>
      </c>
      <c r="T120" t="s">
        <v>217</v>
      </c>
      <c r="U120" t="s">
        <v>216</v>
      </c>
      <c r="V120">
        <f t="shared" si="4"/>
        <v>34</v>
      </c>
      <c r="W120">
        <f t="shared" si="5"/>
        <v>157</v>
      </c>
      <c r="X120">
        <f t="shared" si="6"/>
        <v>5.666666666666667</v>
      </c>
      <c r="Y120">
        <f t="shared" si="7"/>
        <v>26.166666666666668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54</v>
      </c>
      <c r="AN120" s="1">
        <v>6</v>
      </c>
      <c r="AO120" s="1">
        <v>0</v>
      </c>
      <c r="AP120" s="1">
        <v>11</v>
      </c>
      <c r="AQ120" s="1">
        <v>1</v>
      </c>
      <c r="AR120" s="1">
        <v>5</v>
      </c>
      <c r="AS120" s="1">
        <v>0</v>
      </c>
      <c r="AT120" s="1">
        <v>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2</v>
      </c>
      <c r="BG120" s="1">
        <v>1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10</v>
      </c>
      <c r="BZ120" s="1">
        <v>7</v>
      </c>
      <c r="CA120" s="1">
        <v>0</v>
      </c>
      <c r="CB120" s="1">
        <v>1</v>
      </c>
      <c r="CC120" s="1">
        <v>0</v>
      </c>
      <c r="CD120" s="1">
        <v>3</v>
      </c>
      <c r="CE120" s="1">
        <v>0</v>
      </c>
      <c r="CF120" s="1">
        <v>0</v>
      </c>
      <c r="CG120" s="1">
        <v>1</v>
      </c>
      <c r="CH120" s="1">
        <v>0</v>
      </c>
      <c r="CI120" s="1">
        <v>3</v>
      </c>
      <c r="CJ120" s="1">
        <v>0</v>
      </c>
      <c r="CK120" s="1">
        <v>0</v>
      </c>
      <c r="CL120" s="1">
        <v>0</v>
      </c>
      <c r="CM120" s="1">
        <v>1</v>
      </c>
      <c r="CN120" s="1">
        <v>4</v>
      </c>
      <c r="CO120" s="1">
        <v>0</v>
      </c>
      <c r="CP120" s="1">
        <v>1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11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2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1</v>
      </c>
      <c r="DK120" s="1">
        <v>0</v>
      </c>
      <c r="DL120" s="1">
        <v>0</v>
      </c>
      <c r="DM120" s="1">
        <v>0</v>
      </c>
      <c r="DN120" s="1">
        <v>0</v>
      </c>
      <c r="DO120" s="1">
        <v>2</v>
      </c>
      <c r="DP120" s="1">
        <v>0</v>
      </c>
      <c r="DQ120" s="1">
        <v>0</v>
      </c>
      <c r="DR120" s="1">
        <v>0</v>
      </c>
      <c r="DS120" s="1">
        <v>8</v>
      </c>
      <c r="DT120" s="1">
        <v>0</v>
      </c>
      <c r="DU120" s="1">
        <v>0</v>
      </c>
      <c r="DV120" s="1">
        <v>1</v>
      </c>
      <c r="DW120" s="1">
        <v>0</v>
      </c>
      <c r="DX120" s="1">
        <v>0</v>
      </c>
      <c r="DY120" s="1">
        <v>0</v>
      </c>
      <c r="DZ120" s="1">
        <v>1</v>
      </c>
      <c r="EA120" s="1">
        <v>0</v>
      </c>
      <c r="EB120" s="1">
        <v>7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1</v>
      </c>
      <c r="ES120" s="1">
        <v>0</v>
      </c>
      <c r="ET120" s="1">
        <v>0</v>
      </c>
      <c r="EU120" s="1">
        <v>1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3</v>
      </c>
      <c r="FG120" s="1">
        <v>0</v>
      </c>
      <c r="FH120" s="1">
        <v>1</v>
      </c>
      <c r="FI120" s="1">
        <v>0</v>
      </c>
      <c r="FJ120" s="1">
        <v>0</v>
      </c>
      <c r="FK120" s="1">
        <v>0</v>
      </c>
      <c r="FL120" s="1">
        <v>0</v>
      </c>
      <c r="FM120" s="1">
        <v>2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1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1</v>
      </c>
      <c r="IG120">
        <v>0</v>
      </c>
      <c r="IH120">
        <v>1</v>
      </c>
    </row>
    <row r="121" spans="1:242" x14ac:dyDescent="0.25">
      <c r="A121">
        <v>15955</v>
      </c>
      <c r="B121">
        <v>4</v>
      </c>
      <c r="C121">
        <v>10</v>
      </c>
      <c r="D121" t="s">
        <v>224</v>
      </c>
      <c r="E121" t="s">
        <v>220</v>
      </c>
      <c r="F121">
        <v>4</v>
      </c>
      <c r="G121">
        <v>33.117666669999998</v>
      </c>
      <c r="H121">
        <v>10.173166670000001</v>
      </c>
      <c r="I121">
        <v>19.16086409</v>
      </c>
      <c r="J121">
        <v>93.275000000000006</v>
      </c>
      <c r="K121">
        <v>9.3666666670000005</v>
      </c>
      <c r="L121">
        <v>50.336904760000003</v>
      </c>
      <c r="M121">
        <v>13.98478223</v>
      </c>
      <c r="N121">
        <v>0.97199999999999998</v>
      </c>
      <c r="O121">
        <v>-1.23</v>
      </c>
      <c r="P121" t="s">
        <v>216</v>
      </c>
      <c r="Q121" t="s">
        <v>217</v>
      </c>
      <c r="R121" t="s">
        <v>216</v>
      </c>
      <c r="S121" t="s">
        <v>217</v>
      </c>
      <c r="T121" t="s">
        <v>217</v>
      </c>
      <c r="U121" t="s">
        <v>216</v>
      </c>
      <c r="V121">
        <f t="shared" si="4"/>
        <v>22</v>
      </c>
      <c r="W121">
        <f t="shared" si="5"/>
        <v>98</v>
      </c>
      <c r="X121">
        <f t="shared" si="6"/>
        <v>2.2000000000000002</v>
      </c>
      <c r="Y121">
        <f t="shared" si="7"/>
        <v>9.8000000000000007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0</v>
      </c>
      <c r="AM121" s="1">
        <v>47</v>
      </c>
      <c r="AN121" s="1">
        <v>4</v>
      </c>
      <c r="AO121" s="1">
        <v>0</v>
      </c>
      <c r="AP121" s="1">
        <v>4</v>
      </c>
      <c r="AQ121" s="1">
        <v>0</v>
      </c>
      <c r="AR121" s="1">
        <v>3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1</v>
      </c>
      <c r="BB121" s="1">
        <v>0</v>
      </c>
      <c r="BC121" s="1">
        <v>0</v>
      </c>
      <c r="BD121" s="1">
        <v>0</v>
      </c>
      <c r="BE121" s="1">
        <v>1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1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1</v>
      </c>
      <c r="BZ121" s="1">
        <v>9</v>
      </c>
      <c r="CA121" s="1">
        <v>0</v>
      </c>
      <c r="CB121" s="1">
        <v>0</v>
      </c>
      <c r="CC121" s="1">
        <v>0</v>
      </c>
      <c r="CD121" s="1">
        <v>1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1</v>
      </c>
      <c r="CN121" s="1">
        <v>2</v>
      </c>
      <c r="CO121" s="1">
        <v>0</v>
      </c>
      <c r="CP121" s="1">
        <v>0</v>
      </c>
      <c r="CQ121" s="1">
        <v>0</v>
      </c>
      <c r="CR121" s="1">
        <v>1</v>
      </c>
      <c r="CS121" s="1">
        <v>0</v>
      </c>
      <c r="CT121" s="1">
        <v>0</v>
      </c>
      <c r="CU121" s="1">
        <v>0</v>
      </c>
      <c r="CV121" s="1">
        <v>8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2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2</v>
      </c>
      <c r="DP121" s="1">
        <v>0</v>
      </c>
      <c r="DQ121" s="1">
        <v>0</v>
      </c>
      <c r="DR121" s="1">
        <v>0</v>
      </c>
      <c r="DS121" s="1">
        <v>5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1</v>
      </c>
      <c r="FN121" s="1">
        <v>0</v>
      </c>
      <c r="FO121" s="1">
        <v>0</v>
      </c>
      <c r="FP121" s="1">
        <v>0</v>
      </c>
      <c r="FQ121" s="1">
        <v>1</v>
      </c>
      <c r="FR121" s="1">
        <v>0</v>
      </c>
      <c r="FS121" s="1">
        <v>0</v>
      </c>
      <c r="FT121" s="1">
        <v>0</v>
      </c>
      <c r="FU121" s="1">
        <v>1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</row>
    <row r="122" spans="1:242" x14ac:dyDescent="0.25">
      <c r="A122">
        <v>15956</v>
      </c>
      <c r="B122">
        <v>26</v>
      </c>
      <c r="C122">
        <v>7</v>
      </c>
      <c r="D122" t="s">
        <v>221</v>
      </c>
      <c r="E122" t="s">
        <v>220</v>
      </c>
      <c r="F122">
        <v>9</v>
      </c>
      <c r="G122">
        <v>30.542000000000002</v>
      </c>
      <c r="H122">
        <v>7.6276666669999997</v>
      </c>
      <c r="I122">
        <v>16.096763660000001</v>
      </c>
      <c r="J122">
        <v>95.825000000000003</v>
      </c>
      <c r="K122">
        <v>22.75</v>
      </c>
      <c r="L122">
        <v>62.828878070000002</v>
      </c>
      <c r="M122">
        <v>12.933307320000001</v>
      </c>
      <c r="N122">
        <v>-0.90300000000000002</v>
      </c>
      <c r="O122">
        <v>-0.55700000000000005</v>
      </c>
      <c r="P122" t="s">
        <v>217</v>
      </c>
      <c r="Q122" t="s">
        <v>217</v>
      </c>
      <c r="R122" t="s">
        <v>217</v>
      </c>
      <c r="S122" t="s">
        <v>216</v>
      </c>
      <c r="T122" t="s">
        <v>216</v>
      </c>
      <c r="U122" t="s">
        <v>217</v>
      </c>
      <c r="V122">
        <f t="shared" si="4"/>
        <v>23</v>
      </c>
      <c r="W122">
        <f t="shared" si="5"/>
        <v>88</v>
      </c>
      <c r="X122">
        <f t="shared" si="6"/>
        <v>3.2857142857142856</v>
      </c>
      <c r="Y122">
        <f t="shared" si="7"/>
        <v>12.571428571428571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0</v>
      </c>
      <c r="AL122" s="1">
        <v>0</v>
      </c>
      <c r="AM122" s="1">
        <v>11</v>
      </c>
      <c r="AN122" s="1">
        <v>4</v>
      </c>
      <c r="AO122" s="1">
        <v>0</v>
      </c>
      <c r="AP122" s="1">
        <v>8</v>
      </c>
      <c r="AQ122" s="1">
        <v>0</v>
      </c>
      <c r="AR122" s="1">
        <v>18</v>
      </c>
      <c r="AS122" s="1">
        <v>1</v>
      </c>
      <c r="AT122" s="1">
        <v>1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1</v>
      </c>
      <c r="BH122" s="1">
        <v>0</v>
      </c>
      <c r="BI122" s="1">
        <v>0</v>
      </c>
      <c r="BJ122" s="1">
        <v>0</v>
      </c>
      <c r="BK122" s="1">
        <v>1</v>
      </c>
      <c r="BL122" s="1">
        <v>4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6</v>
      </c>
      <c r="CA122" s="1">
        <v>1</v>
      </c>
      <c r="CB122" s="1">
        <v>1</v>
      </c>
      <c r="CC122" s="1">
        <v>0</v>
      </c>
      <c r="CD122" s="1">
        <v>6</v>
      </c>
      <c r="CE122" s="1">
        <v>0</v>
      </c>
      <c r="CF122" s="1">
        <v>0</v>
      </c>
      <c r="CG122" s="1">
        <v>0</v>
      </c>
      <c r="CH122" s="1">
        <v>0</v>
      </c>
      <c r="CI122" s="1">
        <v>1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11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3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4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1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1</v>
      </c>
      <c r="GC122" s="1">
        <v>0</v>
      </c>
      <c r="GD122" s="1">
        <v>0</v>
      </c>
      <c r="GE122" s="1">
        <v>0</v>
      </c>
      <c r="GF122" s="1">
        <v>1</v>
      </c>
      <c r="GG122" s="1">
        <v>0</v>
      </c>
      <c r="GH122" s="1">
        <v>0</v>
      </c>
      <c r="GI122" s="1">
        <v>1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</row>
    <row r="123" spans="1:242" x14ac:dyDescent="0.25">
      <c r="A123">
        <v>15961</v>
      </c>
      <c r="B123">
        <v>26</v>
      </c>
      <c r="C123">
        <v>7</v>
      </c>
      <c r="D123" t="s">
        <v>224</v>
      </c>
      <c r="E123" t="s">
        <v>220</v>
      </c>
      <c r="F123">
        <v>9</v>
      </c>
      <c r="G123">
        <v>33.334833330000002</v>
      </c>
      <c r="H123">
        <v>12.068</v>
      </c>
      <c r="I123">
        <v>19.569214779999999</v>
      </c>
      <c r="J123">
        <v>90.058333329999996</v>
      </c>
      <c r="K123">
        <v>9.1666666669999994</v>
      </c>
      <c r="L123">
        <v>51.32991071</v>
      </c>
      <c r="M123">
        <v>13.980423610000001</v>
      </c>
      <c r="N123">
        <v>1.53</v>
      </c>
      <c r="O123">
        <v>-1.1399999999999999</v>
      </c>
      <c r="P123" t="s">
        <v>217</v>
      </c>
      <c r="Q123" t="s">
        <v>217</v>
      </c>
      <c r="R123" t="s">
        <v>217</v>
      </c>
      <c r="S123" t="s">
        <v>216</v>
      </c>
      <c r="T123" t="s">
        <v>216</v>
      </c>
      <c r="U123" t="s">
        <v>217</v>
      </c>
      <c r="V123">
        <f t="shared" si="4"/>
        <v>13</v>
      </c>
      <c r="W123">
        <f t="shared" si="5"/>
        <v>87</v>
      </c>
      <c r="X123">
        <f t="shared" si="6"/>
        <v>1.8571428571428572</v>
      </c>
      <c r="Y123">
        <f t="shared" si="7"/>
        <v>12.428571428571429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2</v>
      </c>
      <c r="AN123" s="1">
        <v>3</v>
      </c>
      <c r="AO123" s="1">
        <v>0</v>
      </c>
      <c r="AP123" s="1">
        <v>3</v>
      </c>
      <c r="AQ123" s="1">
        <v>0</v>
      </c>
      <c r="AR123" s="1">
        <v>25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4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10</v>
      </c>
      <c r="CA123" s="1">
        <v>1</v>
      </c>
      <c r="CB123" s="1">
        <v>0</v>
      </c>
      <c r="CC123" s="1">
        <v>0</v>
      </c>
      <c r="CD123" s="1">
        <v>3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32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1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1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1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</row>
    <row r="124" spans="1:242" x14ac:dyDescent="0.25">
      <c r="A124">
        <v>15962</v>
      </c>
      <c r="B124">
        <v>8</v>
      </c>
      <c r="C124">
        <v>7</v>
      </c>
      <c r="D124" t="s">
        <v>221</v>
      </c>
      <c r="E124" t="s">
        <v>220</v>
      </c>
      <c r="F124">
        <v>9</v>
      </c>
      <c r="G124">
        <v>32.910083329999999</v>
      </c>
      <c r="H124">
        <v>7.9991666669999999</v>
      </c>
      <c r="I124">
        <v>16.762777280000002</v>
      </c>
      <c r="J124">
        <v>95.358333329999994</v>
      </c>
      <c r="K124">
        <v>23.15</v>
      </c>
      <c r="L124">
        <v>62.303472220000003</v>
      </c>
      <c r="M124">
        <v>12.932446499999999</v>
      </c>
      <c r="N124">
        <v>-0.48599999999999999</v>
      </c>
      <c r="O124">
        <v>-0.54100000000000004</v>
      </c>
      <c r="P124" t="s">
        <v>216</v>
      </c>
      <c r="Q124" t="s">
        <v>216</v>
      </c>
      <c r="R124" t="s">
        <v>217</v>
      </c>
      <c r="S124" t="s">
        <v>217</v>
      </c>
      <c r="T124" t="s">
        <v>217</v>
      </c>
      <c r="U124" t="s">
        <v>216</v>
      </c>
      <c r="V124">
        <f t="shared" si="4"/>
        <v>4</v>
      </c>
      <c r="W124">
        <f t="shared" si="5"/>
        <v>5</v>
      </c>
      <c r="X124">
        <f t="shared" si="6"/>
        <v>0.5714285714285714</v>
      </c>
      <c r="Y124">
        <f t="shared" si="7"/>
        <v>0.7142857142857143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2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1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1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</row>
    <row r="125" spans="1:242" x14ac:dyDescent="0.25">
      <c r="A125">
        <v>15967</v>
      </c>
      <c r="B125">
        <v>8</v>
      </c>
      <c r="C125">
        <v>7</v>
      </c>
      <c r="D125" t="s">
        <v>224</v>
      </c>
      <c r="E125" t="s">
        <v>220</v>
      </c>
      <c r="F125">
        <v>9</v>
      </c>
      <c r="G125">
        <v>36.17958333</v>
      </c>
      <c r="H125">
        <v>12.776833330000001</v>
      </c>
      <c r="I125">
        <v>20.152515869999998</v>
      </c>
      <c r="J125">
        <v>85.224999999999994</v>
      </c>
      <c r="K125">
        <v>8.6999999999999993</v>
      </c>
      <c r="L125">
        <v>50.377976189999998</v>
      </c>
      <c r="M125">
        <v>13.97846054</v>
      </c>
      <c r="N125">
        <v>2.4900000000000002</v>
      </c>
      <c r="O125">
        <v>-1.37</v>
      </c>
      <c r="P125" t="s">
        <v>216</v>
      </c>
      <c r="Q125" t="s">
        <v>216</v>
      </c>
      <c r="R125" t="s">
        <v>217</v>
      </c>
      <c r="S125" t="s">
        <v>217</v>
      </c>
      <c r="T125" t="s">
        <v>217</v>
      </c>
      <c r="U125" t="s">
        <v>216</v>
      </c>
      <c r="V125">
        <f t="shared" si="4"/>
        <v>2</v>
      </c>
      <c r="W125">
        <f t="shared" si="5"/>
        <v>2</v>
      </c>
      <c r="X125">
        <f t="shared" si="6"/>
        <v>0.2857142857142857</v>
      </c>
      <c r="Y125">
        <f t="shared" si="7"/>
        <v>0.2857142857142857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1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</row>
    <row r="126" spans="1:242" x14ac:dyDescent="0.25">
      <c r="A126">
        <v>15968</v>
      </c>
      <c r="B126">
        <v>18</v>
      </c>
      <c r="C126">
        <v>7</v>
      </c>
      <c r="D126" t="s">
        <v>221</v>
      </c>
      <c r="E126" t="s">
        <v>220</v>
      </c>
      <c r="F126">
        <v>9</v>
      </c>
      <c r="G126">
        <v>33.534083330000001</v>
      </c>
      <c r="H126">
        <v>5.5628333330000004</v>
      </c>
      <c r="I126">
        <v>15.75213817</v>
      </c>
      <c r="J126">
        <v>94.983333329999994</v>
      </c>
      <c r="K126">
        <v>20.116666670000001</v>
      </c>
      <c r="L126">
        <v>63.620919010000001</v>
      </c>
      <c r="M126">
        <v>12.9339315</v>
      </c>
      <c r="N126">
        <v>-0.73799999999999999</v>
      </c>
      <c r="O126">
        <v>-0.97599999999999998</v>
      </c>
      <c r="P126" t="s">
        <v>216</v>
      </c>
      <c r="Q126" t="s">
        <v>217</v>
      </c>
      <c r="R126" t="s">
        <v>217</v>
      </c>
      <c r="S126" t="s">
        <v>217</v>
      </c>
      <c r="T126" t="s">
        <v>217</v>
      </c>
      <c r="U126" t="s">
        <v>217</v>
      </c>
      <c r="V126">
        <f t="shared" si="4"/>
        <v>41</v>
      </c>
      <c r="W126">
        <f t="shared" si="5"/>
        <v>658</v>
      </c>
      <c r="X126">
        <f t="shared" si="6"/>
        <v>5.8571428571428568</v>
      </c>
      <c r="Y126">
        <f t="shared" si="7"/>
        <v>94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2</v>
      </c>
      <c r="AI126" s="1">
        <v>5</v>
      </c>
      <c r="AJ126" s="1">
        <v>0</v>
      </c>
      <c r="AK126" s="1">
        <v>0</v>
      </c>
      <c r="AL126" s="1">
        <v>0</v>
      </c>
      <c r="AM126" s="1">
        <v>229</v>
      </c>
      <c r="AN126" s="1">
        <v>6</v>
      </c>
      <c r="AO126" s="1">
        <v>0</v>
      </c>
      <c r="AP126" s="1">
        <v>71</v>
      </c>
      <c r="AQ126" s="1">
        <v>1</v>
      </c>
      <c r="AR126" s="1">
        <v>0</v>
      </c>
      <c r="AS126" s="1">
        <v>0</v>
      </c>
      <c r="AT126" s="1">
        <v>1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6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5</v>
      </c>
      <c r="BH126" s="1">
        <v>0</v>
      </c>
      <c r="BI126" s="1">
        <v>0</v>
      </c>
      <c r="BJ126" s="1">
        <v>0</v>
      </c>
      <c r="BK126" s="1">
        <v>0</v>
      </c>
      <c r="BL126" s="1">
        <v>10</v>
      </c>
      <c r="BM126" s="1">
        <v>0</v>
      </c>
      <c r="BN126" s="1">
        <v>0</v>
      </c>
      <c r="BO126" s="1">
        <v>0</v>
      </c>
      <c r="BP126" s="1">
        <v>1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105</v>
      </c>
      <c r="CA126" s="1">
        <v>13</v>
      </c>
      <c r="CB126" s="1">
        <v>0</v>
      </c>
      <c r="CC126" s="1">
        <v>0</v>
      </c>
      <c r="CD126" s="1">
        <v>52</v>
      </c>
      <c r="CE126" s="1">
        <v>0</v>
      </c>
      <c r="CF126" s="1">
        <v>0</v>
      </c>
      <c r="CG126" s="1">
        <v>4</v>
      </c>
      <c r="CH126" s="1">
        <v>0</v>
      </c>
      <c r="CI126" s="1">
        <v>32</v>
      </c>
      <c r="CJ126" s="1">
        <v>0</v>
      </c>
      <c r="CK126" s="1">
        <v>0</v>
      </c>
      <c r="CL126" s="1">
        <v>0</v>
      </c>
      <c r="CM126" s="1">
        <v>0</v>
      </c>
      <c r="CN126" s="1">
        <v>5</v>
      </c>
      <c r="CO126" s="1">
        <v>0</v>
      </c>
      <c r="CP126" s="1">
        <v>0</v>
      </c>
      <c r="CQ126" s="1">
        <v>0</v>
      </c>
      <c r="CR126" s="1">
        <v>1</v>
      </c>
      <c r="CS126" s="1">
        <v>0</v>
      </c>
      <c r="CT126" s="1">
        <v>1</v>
      </c>
      <c r="CU126" s="1">
        <v>0</v>
      </c>
      <c r="CV126" s="1">
        <v>38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13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4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4</v>
      </c>
      <c r="EA126" s="1">
        <v>0</v>
      </c>
      <c r="EB126" s="1">
        <v>4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3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2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1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1</v>
      </c>
      <c r="FU126" s="1">
        <v>0</v>
      </c>
      <c r="FV126" s="1">
        <v>0</v>
      </c>
      <c r="FW126" s="1">
        <v>0</v>
      </c>
      <c r="FX126" s="1">
        <v>0</v>
      </c>
      <c r="FY126" s="1">
        <v>5</v>
      </c>
      <c r="FZ126" s="1">
        <v>0</v>
      </c>
      <c r="GA126" s="1">
        <v>3</v>
      </c>
      <c r="GB126" s="1">
        <v>9</v>
      </c>
      <c r="GC126" s="1">
        <v>0</v>
      </c>
      <c r="GD126" s="1">
        <v>0</v>
      </c>
      <c r="GE126" s="1">
        <v>0</v>
      </c>
      <c r="GF126" s="1">
        <v>1</v>
      </c>
      <c r="GG126" s="1">
        <v>0</v>
      </c>
      <c r="GH126" s="1">
        <v>0</v>
      </c>
      <c r="GI126" s="1">
        <v>0</v>
      </c>
      <c r="GJ126" s="1">
        <v>1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1</v>
      </c>
      <c r="HF126">
        <v>0</v>
      </c>
      <c r="HG126">
        <v>1</v>
      </c>
      <c r="HH126">
        <v>0</v>
      </c>
      <c r="HI126">
        <v>0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0</v>
      </c>
      <c r="IE126">
        <v>0</v>
      </c>
      <c r="IF126">
        <v>1</v>
      </c>
      <c r="IG126">
        <v>0</v>
      </c>
      <c r="IH126">
        <v>12</v>
      </c>
    </row>
    <row r="127" spans="1:242" x14ac:dyDescent="0.25">
      <c r="A127">
        <v>15973</v>
      </c>
      <c r="B127">
        <v>18</v>
      </c>
      <c r="C127">
        <v>7</v>
      </c>
      <c r="D127" t="s">
        <v>224</v>
      </c>
      <c r="E127" t="s">
        <v>220</v>
      </c>
      <c r="F127">
        <v>9</v>
      </c>
      <c r="G127">
        <v>36.439333329999997</v>
      </c>
      <c r="H127">
        <v>9.9561666669999997</v>
      </c>
      <c r="I127">
        <v>19.57787897</v>
      </c>
      <c r="J127">
        <v>93.45</v>
      </c>
      <c r="K127">
        <v>8.8333333330000006</v>
      </c>
      <c r="L127">
        <v>50.515029759999997</v>
      </c>
      <c r="M127">
        <v>13.98184706</v>
      </c>
      <c r="N127">
        <v>1.33</v>
      </c>
      <c r="O127">
        <v>-1.29</v>
      </c>
      <c r="P127" t="s">
        <v>216</v>
      </c>
      <c r="Q127" t="s">
        <v>217</v>
      </c>
      <c r="R127" t="s">
        <v>217</v>
      </c>
      <c r="S127" t="s">
        <v>217</v>
      </c>
      <c r="T127" t="s">
        <v>217</v>
      </c>
      <c r="U127" t="s">
        <v>217</v>
      </c>
      <c r="V127">
        <f t="shared" si="4"/>
        <v>25</v>
      </c>
      <c r="W127">
        <f t="shared" si="5"/>
        <v>294</v>
      </c>
      <c r="X127">
        <f t="shared" si="6"/>
        <v>3.5714285714285716</v>
      </c>
      <c r="Y127">
        <f t="shared" si="7"/>
        <v>42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93</v>
      </c>
      <c r="AN127" s="1">
        <v>1</v>
      </c>
      <c r="AO127" s="1">
        <v>0</v>
      </c>
      <c r="AP127" s="1">
        <v>3</v>
      </c>
      <c r="AQ127" s="1">
        <v>0</v>
      </c>
      <c r="AR127" s="1">
        <v>1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25</v>
      </c>
      <c r="BH127" s="1">
        <v>0</v>
      </c>
      <c r="BI127" s="1">
        <v>0</v>
      </c>
      <c r="BJ127" s="1">
        <v>0</v>
      </c>
      <c r="BK127" s="1">
        <v>0</v>
      </c>
      <c r="BL127" s="1">
        <v>9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37</v>
      </c>
      <c r="CA127" s="1">
        <v>4</v>
      </c>
      <c r="CB127" s="1">
        <v>1</v>
      </c>
      <c r="CC127" s="1">
        <v>0</v>
      </c>
      <c r="CD127" s="1">
        <v>37</v>
      </c>
      <c r="CE127" s="1">
        <v>0</v>
      </c>
      <c r="CF127" s="1">
        <v>0</v>
      </c>
      <c r="CG127" s="1">
        <v>0</v>
      </c>
      <c r="CH127" s="1">
        <v>0</v>
      </c>
      <c r="CI127" s="1">
        <v>14</v>
      </c>
      <c r="CJ127" s="1">
        <v>0</v>
      </c>
      <c r="CK127" s="1">
        <v>0</v>
      </c>
      <c r="CL127" s="1">
        <v>0</v>
      </c>
      <c r="CM127" s="1">
        <v>0</v>
      </c>
      <c r="CN127" s="1">
        <v>2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1</v>
      </c>
      <c r="CU127" s="1">
        <v>0</v>
      </c>
      <c r="CV127" s="1">
        <v>42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10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1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2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1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1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1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1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2</v>
      </c>
      <c r="ID127">
        <v>0</v>
      </c>
      <c r="IE127">
        <v>0</v>
      </c>
      <c r="IF127">
        <v>0</v>
      </c>
      <c r="IG127">
        <v>0</v>
      </c>
      <c r="IH127">
        <v>3</v>
      </c>
    </row>
    <row r="128" spans="1:242" x14ac:dyDescent="0.25">
      <c r="A128">
        <v>15977</v>
      </c>
      <c r="B128">
        <v>19</v>
      </c>
      <c r="C128">
        <v>7</v>
      </c>
      <c r="D128" t="s">
        <v>224</v>
      </c>
      <c r="E128" t="s">
        <v>220</v>
      </c>
      <c r="F128">
        <v>9</v>
      </c>
      <c r="G128">
        <v>36.53083333</v>
      </c>
      <c r="H128">
        <v>12.785</v>
      </c>
      <c r="I128">
        <v>21.932666170000001</v>
      </c>
      <c r="J128">
        <v>86.908333330000005</v>
      </c>
      <c r="K128">
        <v>10.15833333</v>
      </c>
      <c r="L128">
        <v>47.594047619999998</v>
      </c>
      <c r="M128">
        <v>13.803238370000001</v>
      </c>
      <c r="N128">
        <v>2.6</v>
      </c>
      <c r="O128">
        <v>-1.26</v>
      </c>
      <c r="P128" t="s">
        <v>217</v>
      </c>
      <c r="Q128" t="s">
        <v>216</v>
      </c>
      <c r="R128" t="s">
        <v>216</v>
      </c>
      <c r="S128" t="s">
        <v>216</v>
      </c>
      <c r="T128" t="s">
        <v>216</v>
      </c>
      <c r="U128" t="s">
        <v>216</v>
      </c>
      <c r="V128">
        <f t="shared" si="4"/>
        <v>43</v>
      </c>
      <c r="W128">
        <f t="shared" si="5"/>
        <v>318</v>
      </c>
      <c r="X128">
        <f t="shared" si="6"/>
        <v>6.1428571428571432</v>
      </c>
      <c r="Y128">
        <f t="shared" si="7"/>
        <v>45.428571428571431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6</v>
      </c>
      <c r="AG128" s="1">
        <v>0</v>
      </c>
      <c r="AH128" s="1">
        <v>1</v>
      </c>
      <c r="AI128" s="1">
        <v>1</v>
      </c>
      <c r="AJ128" s="1">
        <v>0</v>
      </c>
      <c r="AK128" s="1">
        <v>1</v>
      </c>
      <c r="AL128" s="1">
        <v>0</v>
      </c>
      <c r="AM128" s="1">
        <v>54</v>
      </c>
      <c r="AN128" s="1">
        <v>0</v>
      </c>
      <c r="AO128" s="1">
        <v>0</v>
      </c>
      <c r="AP128" s="1">
        <v>21</v>
      </c>
      <c r="AQ128" s="1">
        <v>0</v>
      </c>
      <c r="AR128" s="1">
        <v>1</v>
      </c>
      <c r="AS128" s="1">
        <v>14</v>
      </c>
      <c r="AT128" s="1">
        <v>2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2</v>
      </c>
      <c r="BB128" s="1">
        <v>0</v>
      </c>
      <c r="BC128" s="1">
        <v>0</v>
      </c>
      <c r="BD128" s="1">
        <v>0</v>
      </c>
      <c r="BE128" s="1">
        <v>0</v>
      </c>
      <c r="BF128" s="1">
        <v>1</v>
      </c>
      <c r="BG128" s="1">
        <v>3</v>
      </c>
      <c r="BH128" s="1">
        <v>0</v>
      </c>
      <c r="BI128" s="1">
        <v>0</v>
      </c>
      <c r="BJ128" s="1">
        <v>0</v>
      </c>
      <c r="BK128" s="1">
        <v>0</v>
      </c>
      <c r="BL128" s="1">
        <v>14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1</v>
      </c>
      <c r="BX128" s="1">
        <v>0</v>
      </c>
      <c r="BY128" s="1">
        <v>0</v>
      </c>
      <c r="BZ128" s="1">
        <v>10</v>
      </c>
      <c r="CA128" s="1">
        <v>11</v>
      </c>
      <c r="CB128" s="1">
        <v>1</v>
      </c>
      <c r="CC128" s="1">
        <v>0</v>
      </c>
      <c r="CD128" s="1">
        <v>20</v>
      </c>
      <c r="CE128" s="1">
        <v>0</v>
      </c>
      <c r="CF128" s="1">
        <v>0</v>
      </c>
      <c r="CG128" s="1">
        <v>0</v>
      </c>
      <c r="CH128" s="1">
        <v>0</v>
      </c>
      <c r="CI128" s="1">
        <v>9</v>
      </c>
      <c r="CJ128" s="1">
        <v>0</v>
      </c>
      <c r="CK128" s="1">
        <v>0</v>
      </c>
      <c r="CL128" s="1">
        <v>1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2</v>
      </c>
      <c r="CU128" s="1">
        <v>0</v>
      </c>
      <c r="CV128" s="1">
        <v>40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22</v>
      </c>
      <c r="DC128" s="1">
        <v>2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9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9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1</v>
      </c>
      <c r="EI128" s="1">
        <v>1</v>
      </c>
      <c r="EJ128" s="1">
        <v>0</v>
      </c>
      <c r="EK128" s="1">
        <v>14</v>
      </c>
      <c r="EL128" s="1">
        <v>0</v>
      </c>
      <c r="EM128" s="1">
        <v>0</v>
      </c>
      <c r="EN128" s="1">
        <v>2</v>
      </c>
      <c r="EO128" s="1">
        <v>0</v>
      </c>
      <c r="EP128" s="1">
        <v>0</v>
      </c>
      <c r="EQ128" s="1">
        <v>0</v>
      </c>
      <c r="ER128" s="1">
        <v>2</v>
      </c>
      <c r="ES128" s="1">
        <v>0</v>
      </c>
      <c r="ET128" s="1">
        <v>1</v>
      </c>
      <c r="EU128" s="1">
        <v>3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3</v>
      </c>
      <c r="FN128" s="1">
        <v>0</v>
      </c>
      <c r="FO128" s="1">
        <v>0</v>
      </c>
      <c r="FP128" s="1">
        <v>0</v>
      </c>
      <c r="FQ128" s="1">
        <v>2</v>
      </c>
      <c r="FR128" s="1">
        <v>0</v>
      </c>
      <c r="FS128" s="1">
        <v>0</v>
      </c>
      <c r="FT128" s="1">
        <v>1</v>
      </c>
      <c r="FU128" s="1">
        <v>0</v>
      </c>
      <c r="FV128" s="1">
        <v>0</v>
      </c>
      <c r="FW128" s="1">
        <v>0</v>
      </c>
      <c r="FX128" s="1">
        <v>0</v>
      </c>
      <c r="FY128" s="1">
        <v>1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1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1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</v>
      </c>
      <c r="HP128">
        <v>0</v>
      </c>
      <c r="HQ128">
        <v>0</v>
      </c>
      <c r="HR128">
        <v>0</v>
      </c>
      <c r="HS128">
        <v>3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3</v>
      </c>
      <c r="IG128">
        <v>0</v>
      </c>
      <c r="IH128">
        <v>20</v>
      </c>
    </row>
    <row r="129" spans="1:242" x14ac:dyDescent="0.25">
      <c r="A129">
        <v>15980</v>
      </c>
      <c r="B129">
        <v>16</v>
      </c>
      <c r="C129">
        <v>7</v>
      </c>
      <c r="D129" t="s">
        <v>221</v>
      </c>
      <c r="E129" t="s">
        <v>220</v>
      </c>
      <c r="F129">
        <v>8</v>
      </c>
      <c r="G129">
        <v>33.354333330000003</v>
      </c>
      <c r="H129">
        <v>9.3466666669999992</v>
      </c>
      <c r="I129">
        <v>17.633336310000001</v>
      </c>
      <c r="J129">
        <v>94.8</v>
      </c>
      <c r="K129">
        <v>18.774999999999999</v>
      </c>
      <c r="L129">
        <v>67.736507939999996</v>
      </c>
      <c r="M129">
        <v>13.169349199999999</v>
      </c>
      <c r="N129">
        <v>-0.17</v>
      </c>
      <c r="O129">
        <v>-0.316</v>
      </c>
      <c r="P129" t="s">
        <v>217</v>
      </c>
      <c r="Q129" t="s">
        <v>217</v>
      </c>
      <c r="R129" t="s">
        <v>217</v>
      </c>
      <c r="S129" t="s">
        <v>216</v>
      </c>
      <c r="T129" t="s">
        <v>216</v>
      </c>
      <c r="U129" t="s">
        <v>217</v>
      </c>
      <c r="V129">
        <f t="shared" si="4"/>
        <v>48</v>
      </c>
      <c r="W129">
        <f t="shared" si="5"/>
        <v>661</v>
      </c>
      <c r="X129">
        <f t="shared" si="6"/>
        <v>6.8571428571428568</v>
      </c>
      <c r="Y129">
        <f t="shared" si="7"/>
        <v>94.428571428571431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17</v>
      </c>
      <c r="AG129" s="1">
        <v>0</v>
      </c>
      <c r="AH129" s="1">
        <v>54</v>
      </c>
      <c r="AI129" s="1">
        <v>13</v>
      </c>
      <c r="AJ129" s="1">
        <v>0</v>
      </c>
      <c r="AK129" s="1">
        <v>0</v>
      </c>
      <c r="AL129" s="1">
        <v>0</v>
      </c>
      <c r="AM129" s="1">
        <v>53</v>
      </c>
      <c r="AN129" s="1">
        <v>1</v>
      </c>
      <c r="AO129" s="1">
        <v>0</v>
      </c>
      <c r="AP129" s="1">
        <v>85</v>
      </c>
      <c r="AQ129" s="1">
        <v>0</v>
      </c>
      <c r="AR129" s="1">
        <v>1</v>
      </c>
      <c r="AS129" s="1">
        <v>1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21</v>
      </c>
      <c r="BB129" s="1">
        <v>0</v>
      </c>
      <c r="BC129" s="1">
        <v>0</v>
      </c>
      <c r="BD129" s="1">
        <v>0</v>
      </c>
      <c r="BE129" s="1">
        <v>0</v>
      </c>
      <c r="BF129" s="1">
        <v>2</v>
      </c>
      <c r="BG129" s="1">
        <v>13</v>
      </c>
      <c r="BH129" s="1">
        <v>0</v>
      </c>
      <c r="BI129" s="1">
        <v>0</v>
      </c>
      <c r="BJ129" s="1">
        <v>0</v>
      </c>
      <c r="BK129" s="1">
        <v>0</v>
      </c>
      <c r="BL129" s="1">
        <v>2</v>
      </c>
      <c r="BM129" s="1">
        <v>1</v>
      </c>
      <c r="BN129" s="1">
        <v>0</v>
      </c>
      <c r="BO129" s="1">
        <v>1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1</v>
      </c>
      <c r="BV129" s="1">
        <v>0</v>
      </c>
      <c r="BW129" s="1">
        <v>1</v>
      </c>
      <c r="BX129" s="1">
        <v>0</v>
      </c>
      <c r="BY129" s="1">
        <v>1</v>
      </c>
      <c r="BZ129" s="1">
        <v>64</v>
      </c>
      <c r="CA129" s="1">
        <v>71</v>
      </c>
      <c r="CB129" s="1">
        <v>2</v>
      </c>
      <c r="CC129" s="1">
        <v>0</v>
      </c>
      <c r="CD129" s="1">
        <v>68</v>
      </c>
      <c r="CE129" s="1">
        <v>0</v>
      </c>
      <c r="CF129" s="1">
        <v>0</v>
      </c>
      <c r="CG129" s="1">
        <v>3</v>
      </c>
      <c r="CH129" s="1">
        <v>0</v>
      </c>
      <c r="CI129" s="1">
        <v>2</v>
      </c>
      <c r="CJ129" s="1">
        <v>0</v>
      </c>
      <c r="CK129" s="1">
        <v>0</v>
      </c>
      <c r="CL129" s="1">
        <v>0</v>
      </c>
      <c r="CM129" s="1">
        <v>16</v>
      </c>
      <c r="CN129" s="1">
        <v>8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31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15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3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15</v>
      </c>
      <c r="EA129" s="1">
        <v>0</v>
      </c>
      <c r="EB129" s="1">
        <v>17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1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1</v>
      </c>
      <c r="ES129" s="1">
        <v>0</v>
      </c>
      <c r="ET129" s="1">
        <v>0</v>
      </c>
      <c r="EU129" s="1">
        <v>5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2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1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1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6</v>
      </c>
      <c r="FZ129" s="1">
        <v>0</v>
      </c>
      <c r="GA129" s="1">
        <v>6</v>
      </c>
      <c r="GB129" s="1">
        <v>13</v>
      </c>
      <c r="GC129" s="1">
        <v>0</v>
      </c>
      <c r="GD129" s="1">
        <v>4</v>
      </c>
      <c r="GE129" s="1">
        <v>0</v>
      </c>
      <c r="GF129" s="1">
        <v>9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1</v>
      </c>
      <c r="GM129" s="1">
        <v>0</v>
      </c>
      <c r="GN129" s="1">
        <v>0</v>
      </c>
      <c r="GO129" s="1">
        <v>0</v>
      </c>
      <c r="GP129" s="1">
        <v>1</v>
      </c>
      <c r="GQ129" s="1">
        <v>0</v>
      </c>
      <c r="GR129" s="1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1</v>
      </c>
      <c r="HH129">
        <v>0</v>
      </c>
      <c r="HI129">
        <v>3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10</v>
      </c>
      <c r="IG129">
        <v>0</v>
      </c>
      <c r="IH129">
        <v>12</v>
      </c>
    </row>
    <row r="130" spans="1:242" x14ac:dyDescent="0.25">
      <c r="A130">
        <v>15984</v>
      </c>
      <c r="B130">
        <v>16</v>
      </c>
      <c r="C130">
        <v>7</v>
      </c>
      <c r="D130" t="s">
        <v>224</v>
      </c>
      <c r="E130" t="s">
        <v>220</v>
      </c>
      <c r="F130">
        <v>8</v>
      </c>
      <c r="G130">
        <v>36.44008333</v>
      </c>
      <c r="H130">
        <v>11.154999999999999</v>
      </c>
      <c r="I130">
        <v>20.31612698</v>
      </c>
      <c r="J130">
        <v>92.841666669999995</v>
      </c>
      <c r="K130">
        <v>8.9749999999999996</v>
      </c>
      <c r="L130">
        <v>48.496974209999998</v>
      </c>
      <c r="M130">
        <v>13.98315912</v>
      </c>
      <c r="N130">
        <v>1.65</v>
      </c>
      <c r="O130">
        <v>-1.23</v>
      </c>
      <c r="P130" t="s">
        <v>217</v>
      </c>
      <c r="Q130" t="s">
        <v>217</v>
      </c>
      <c r="R130" t="s">
        <v>217</v>
      </c>
      <c r="S130" t="s">
        <v>216</v>
      </c>
      <c r="T130" t="s">
        <v>216</v>
      </c>
      <c r="U130" t="s">
        <v>217</v>
      </c>
      <c r="V130">
        <f t="shared" si="4"/>
        <v>53</v>
      </c>
      <c r="W130">
        <f t="shared" si="5"/>
        <v>903</v>
      </c>
      <c r="X130">
        <f t="shared" si="6"/>
        <v>7.5714285714285712</v>
      </c>
      <c r="Y130">
        <f t="shared" si="7"/>
        <v>129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39</v>
      </c>
      <c r="AG130" s="1">
        <v>0</v>
      </c>
      <c r="AH130" s="1">
        <v>32</v>
      </c>
      <c r="AI130" s="1">
        <v>8</v>
      </c>
      <c r="AJ130" s="1">
        <v>0</v>
      </c>
      <c r="AK130" s="1">
        <v>2</v>
      </c>
      <c r="AL130" s="1">
        <v>0</v>
      </c>
      <c r="AM130" s="1">
        <v>116</v>
      </c>
      <c r="AN130" s="1">
        <v>0</v>
      </c>
      <c r="AO130" s="1">
        <v>0</v>
      </c>
      <c r="AP130" s="1">
        <v>39</v>
      </c>
      <c r="AQ130" s="1">
        <v>0</v>
      </c>
      <c r="AR130" s="1">
        <v>0</v>
      </c>
      <c r="AS130" s="1">
        <v>12</v>
      </c>
      <c r="AT130" s="1">
        <v>2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12</v>
      </c>
      <c r="BB130" s="1">
        <v>0</v>
      </c>
      <c r="BC130" s="1">
        <v>0</v>
      </c>
      <c r="BD130" s="1">
        <v>1</v>
      </c>
      <c r="BE130" s="1">
        <v>4</v>
      </c>
      <c r="BF130" s="1">
        <v>0</v>
      </c>
      <c r="BG130" s="1">
        <v>12</v>
      </c>
      <c r="BH130" s="1">
        <v>0</v>
      </c>
      <c r="BI130" s="1">
        <v>0</v>
      </c>
      <c r="BJ130" s="1">
        <v>0</v>
      </c>
      <c r="BK130" s="1">
        <v>1</v>
      </c>
      <c r="BL130" s="1">
        <v>10</v>
      </c>
      <c r="BM130" s="1">
        <v>14</v>
      </c>
      <c r="BN130" s="1">
        <v>0</v>
      </c>
      <c r="BO130" s="1">
        <v>3</v>
      </c>
      <c r="BP130" s="1">
        <v>1</v>
      </c>
      <c r="BQ130" s="1">
        <v>0</v>
      </c>
      <c r="BR130" s="1">
        <v>0</v>
      </c>
      <c r="BS130" s="1">
        <v>0</v>
      </c>
      <c r="BT130" s="1">
        <v>0</v>
      </c>
      <c r="BU130" s="1">
        <v>1</v>
      </c>
      <c r="BV130" s="1">
        <v>0</v>
      </c>
      <c r="BW130" s="1">
        <v>0</v>
      </c>
      <c r="BX130" s="1">
        <v>0</v>
      </c>
      <c r="BY130" s="1">
        <v>0</v>
      </c>
      <c r="BZ130" s="1">
        <v>34</v>
      </c>
      <c r="CA130" s="1">
        <v>58</v>
      </c>
      <c r="CB130" s="1">
        <v>0</v>
      </c>
      <c r="CC130" s="1">
        <v>0</v>
      </c>
      <c r="CD130" s="1">
        <v>226</v>
      </c>
      <c r="CE130" s="1">
        <v>0</v>
      </c>
      <c r="CF130" s="1">
        <v>0</v>
      </c>
      <c r="CG130" s="1">
        <v>15</v>
      </c>
      <c r="CH130" s="1">
        <v>0</v>
      </c>
      <c r="CI130" s="1">
        <v>21</v>
      </c>
      <c r="CJ130" s="1">
        <v>0</v>
      </c>
      <c r="CK130" s="1">
        <v>0</v>
      </c>
      <c r="CL130" s="1">
        <v>0</v>
      </c>
      <c r="CM130" s="1">
        <v>24</v>
      </c>
      <c r="CN130" s="1">
        <v>3</v>
      </c>
      <c r="CO130" s="1">
        <v>1</v>
      </c>
      <c r="CP130" s="1">
        <v>0</v>
      </c>
      <c r="CQ130" s="1">
        <v>0</v>
      </c>
      <c r="CR130" s="1">
        <v>0</v>
      </c>
      <c r="CS130" s="1">
        <v>0</v>
      </c>
      <c r="CT130" s="1">
        <v>2</v>
      </c>
      <c r="CU130" s="1">
        <v>0</v>
      </c>
      <c r="CV130" s="1">
        <v>115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31</v>
      </c>
      <c r="DC130" s="1">
        <v>5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1</v>
      </c>
      <c r="DP130" s="1">
        <v>1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12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2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1</v>
      </c>
      <c r="EU130" s="1">
        <v>1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3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1</v>
      </c>
      <c r="FO130" s="1">
        <v>0</v>
      </c>
      <c r="FP130" s="1">
        <v>0</v>
      </c>
      <c r="FQ130" s="1">
        <v>0</v>
      </c>
      <c r="FR130" s="1">
        <v>1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2</v>
      </c>
      <c r="FZ130" s="1">
        <v>0</v>
      </c>
      <c r="GA130" s="1">
        <v>6</v>
      </c>
      <c r="GB130" s="1">
        <v>3</v>
      </c>
      <c r="GC130" s="1">
        <v>1</v>
      </c>
      <c r="GD130" s="1">
        <v>0</v>
      </c>
      <c r="GE130" s="1">
        <v>6</v>
      </c>
      <c r="GF130" s="1">
        <v>6</v>
      </c>
      <c r="GG130" s="1">
        <v>0</v>
      </c>
      <c r="GH130" s="1">
        <v>1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2</v>
      </c>
      <c r="GQ130" s="1">
        <v>0</v>
      </c>
      <c r="GR130" s="1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1</v>
      </c>
      <c r="HF130">
        <v>0</v>
      </c>
      <c r="HG130">
        <v>1</v>
      </c>
      <c r="HH130">
        <v>0</v>
      </c>
      <c r="HI130">
        <v>0</v>
      </c>
      <c r="HJ130">
        <v>1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1</v>
      </c>
      <c r="IF130">
        <v>2</v>
      </c>
      <c r="IG130">
        <v>0</v>
      </c>
      <c r="IH130">
        <v>3</v>
      </c>
    </row>
    <row r="131" spans="1:242" x14ac:dyDescent="0.25">
      <c r="A131">
        <v>15992</v>
      </c>
      <c r="B131">
        <v>14</v>
      </c>
      <c r="C131">
        <v>7</v>
      </c>
      <c r="D131" t="s">
        <v>224</v>
      </c>
      <c r="E131" t="s">
        <v>220</v>
      </c>
      <c r="F131">
        <v>3</v>
      </c>
      <c r="G131">
        <v>36.268500000000003</v>
      </c>
      <c r="H131">
        <v>10.465083330000001</v>
      </c>
      <c r="I131">
        <v>19.757749499999999</v>
      </c>
      <c r="J131">
        <v>87.908333330000005</v>
      </c>
      <c r="K131">
        <v>7.8333333329999997</v>
      </c>
      <c r="L131">
        <v>48.58516865</v>
      </c>
      <c r="M131">
        <v>13.98191184</v>
      </c>
      <c r="N131">
        <v>2.0099999999999998</v>
      </c>
      <c r="O131">
        <v>-1.62</v>
      </c>
      <c r="P131" t="s">
        <v>217</v>
      </c>
      <c r="Q131" t="s">
        <v>217</v>
      </c>
      <c r="R131" t="s">
        <v>217</v>
      </c>
      <c r="S131" t="s">
        <v>216</v>
      </c>
      <c r="T131" t="s">
        <v>216</v>
      </c>
      <c r="U131" t="s">
        <v>217</v>
      </c>
      <c r="V131">
        <f t="shared" ref="V131:V194" si="8">COUNTIF(Z131:IH131, "&gt;0")</f>
        <v>37</v>
      </c>
      <c r="W131">
        <f t="shared" ref="W131:W194" si="9">SUM(Z131:IH131)</f>
        <v>373</v>
      </c>
      <c r="X131">
        <f t="shared" ref="X131:X194" si="10">V131/C131</f>
        <v>5.2857142857142856</v>
      </c>
      <c r="Y131">
        <f t="shared" ref="Y131:Y194" si="11">W131/C131</f>
        <v>53.285714285714285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11</v>
      </c>
      <c r="AI131" s="1">
        <v>1</v>
      </c>
      <c r="AJ131" s="1">
        <v>0</v>
      </c>
      <c r="AK131" s="1">
        <v>0</v>
      </c>
      <c r="AL131" s="1">
        <v>0</v>
      </c>
      <c r="AM131" s="1">
        <v>51</v>
      </c>
      <c r="AN131" s="1">
        <v>0</v>
      </c>
      <c r="AO131" s="1">
        <v>0</v>
      </c>
      <c r="AP131" s="1">
        <v>4</v>
      </c>
      <c r="AQ131" s="1">
        <v>0</v>
      </c>
      <c r="AR131" s="1">
        <v>2</v>
      </c>
      <c r="AS131" s="1">
        <v>5</v>
      </c>
      <c r="AT131" s="1">
        <v>4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1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1</v>
      </c>
      <c r="BH131" s="1">
        <v>0</v>
      </c>
      <c r="BI131" s="1">
        <v>0</v>
      </c>
      <c r="BJ131" s="1">
        <v>0</v>
      </c>
      <c r="BK131" s="1">
        <v>0</v>
      </c>
      <c r="BL131" s="1">
        <v>11</v>
      </c>
      <c r="BM131" s="1">
        <v>0</v>
      </c>
      <c r="BN131" s="1">
        <v>0</v>
      </c>
      <c r="BO131" s="1">
        <v>1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7</v>
      </c>
      <c r="BZ131" s="1">
        <v>15</v>
      </c>
      <c r="CA131" s="1">
        <v>1</v>
      </c>
      <c r="CB131" s="1">
        <v>0</v>
      </c>
      <c r="CC131" s="1">
        <v>0</v>
      </c>
      <c r="CD131" s="1">
        <v>33</v>
      </c>
      <c r="CE131" s="1">
        <v>0</v>
      </c>
      <c r="CF131" s="1">
        <v>0</v>
      </c>
      <c r="CG131" s="1">
        <v>0</v>
      </c>
      <c r="CH131" s="1">
        <v>0</v>
      </c>
      <c r="CI131" s="1">
        <v>29</v>
      </c>
      <c r="CJ131" s="1">
        <v>0</v>
      </c>
      <c r="CK131" s="1">
        <v>0</v>
      </c>
      <c r="CL131" s="1">
        <v>0</v>
      </c>
      <c r="CM131" s="1">
        <v>2</v>
      </c>
      <c r="CN131" s="1">
        <v>0</v>
      </c>
      <c r="CO131" s="1">
        <v>1</v>
      </c>
      <c r="CP131" s="1">
        <v>0</v>
      </c>
      <c r="CQ131" s="1">
        <v>0</v>
      </c>
      <c r="CR131" s="1">
        <v>11</v>
      </c>
      <c r="CS131" s="1">
        <v>0</v>
      </c>
      <c r="CT131" s="1">
        <v>1</v>
      </c>
      <c r="CU131" s="1">
        <v>0</v>
      </c>
      <c r="CV131" s="1">
        <v>51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2</v>
      </c>
      <c r="DC131" s="1">
        <v>0</v>
      </c>
      <c r="DD131" s="1">
        <v>0</v>
      </c>
      <c r="DE131" s="1">
        <v>0</v>
      </c>
      <c r="DF131" s="1">
        <v>0</v>
      </c>
      <c r="DG131" s="1">
        <v>8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3</v>
      </c>
      <c r="EA131" s="1">
        <v>0</v>
      </c>
      <c r="EB131" s="1">
        <v>1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3</v>
      </c>
      <c r="EI131" s="1">
        <v>0</v>
      </c>
      <c r="EJ131" s="1">
        <v>1</v>
      </c>
      <c r="EK131" s="1">
        <v>11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1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4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1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4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5</v>
      </c>
      <c r="GH131" s="1">
        <v>62</v>
      </c>
      <c r="GI131" s="1">
        <v>0</v>
      </c>
      <c r="GJ131" s="1">
        <v>20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1</v>
      </c>
      <c r="IC131">
        <v>0</v>
      </c>
      <c r="ID131">
        <v>0</v>
      </c>
      <c r="IE131">
        <v>0</v>
      </c>
      <c r="IF131">
        <v>3</v>
      </c>
      <c r="IG131">
        <v>0</v>
      </c>
      <c r="IH131">
        <v>0</v>
      </c>
    </row>
    <row r="132" spans="1:242" x14ac:dyDescent="0.25">
      <c r="A132">
        <v>15998</v>
      </c>
      <c r="B132">
        <v>13</v>
      </c>
      <c r="C132">
        <v>7</v>
      </c>
      <c r="D132" t="s">
        <v>224</v>
      </c>
      <c r="E132" t="s">
        <v>220</v>
      </c>
      <c r="F132">
        <v>1</v>
      </c>
      <c r="G132">
        <v>34.137833329999999</v>
      </c>
      <c r="H132">
        <v>9.4287500000000009</v>
      </c>
      <c r="I132">
        <v>19.04201042</v>
      </c>
      <c r="J132">
        <v>90.958333330000002</v>
      </c>
      <c r="K132">
        <v>8.5083333329999995</v>
      </c>
      <c r="L132">
        <v>48.310218249999998</v>
      </c>
      <c r="M132">
        <v>13.987070320000001</v>
      </c>
      <c r="N132">
        <v>1.29</v>
      </c>
      <c r="O132">
        <v>-1.57</v>
      </c>
      <c r="P132" t="s">
        <v>217</v>
      </c>
      <c r="Q132" t="s">
        <v>217</v>
      </c>
      <c r="R132" t="s">
        <v>217</v>
      </c>
      <c r="S132" t="s">
        <v>216</v>
      </c>
      <c r="T132" t="s">
        <v>216</v>
      </c>
      <c r="U132" t="s">
        <v>217</v>
      </c>
      <c r="V132">
        <f t="shared" si="8"/>
        <v>44</v>
      </c>
      <c r="W132">
        <f t="shared" si="9"/>
        <v>254</v>
      </c>
      <c r="X132">
        <f t="shared" si="10"/>
        <v>6.2857142857142856</v>
      </c>
      <c r="Y132">
        <f t="shared" si="11"/>
        <v>36.285714285714285</v>
      </c>
      <c r="Z132" s="1">
        <v>2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10</v>
      </c>
      <c r="AN132" s="1">
        <v>6</v>
      </c>
      <c r="AO132" s="1">
        <v>1</v>
      </c>
      <c r="AP132" s="1">
        <v>11</v>
      </c>
      <c r="AQ132" s="1">
        <v>1</v>
      </c>
      <c r="AR132" s="1">
        <v>1</v>
      </c>
      <c r="AS132" s="1">
        <v>0</v>
      </c>
      <c r="AT132" s="1">
        <v>1</v>
      </c>
      <c r="AU132" s="1">
        <v>1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12</v>
      </c>
      <c r="BG132" s="1">
        <v>1</v>
      </c>
      <c r="BH132" s="1">
        <v>0</v>
      </c>
      <c r="BI132" s="1">
        <v>0</v>
      </c>
      <c r="BJ132" s="1">
        <v>0</v>
      </c>
      <c r="BK132" s="1">
        <v>0</v>
      </c>
      <c r="BL132" s="1">
        <v>6</v>
      </c>
      <c r="BM132" s="1">
        <v>1</v>
      </c>
      <c r="BN132" s="1">
        <v>0</v>
      </c>
      <c r="BO132" s="1">
        <v>2</v>
      </c>
      <c r="BP132" s="1">
        <v>0</v>
      </c>
      <c r="BQ132" s="1">
        <v>0</v>
      </c>
      <c r="BR132" s="1">
        <v>0</v>
      </c>
      <c r="BS132" s="1">
        <v>0</v>
      </c>
      <c r="BT132" s="1">
        <v>9</v>
      </c>
      <c r="BU132" s="1">
        <v>0</v>
      </c>
      <c r="BV132" s="1">
        <v>0</v>
      </c>
      <c r="BW132" s="1">
        <v>0</v>
      </c>
      <c r="BX132" s="1">
        <v>0</v>
      </c>
      <c r="BY132" s="1">
        <v>18</v>
      </c>
      <c r="BZ132" s="1">
        <v>43</v>
      </c>
      <c r="CA132" s="1">
        <v>1</v>
      </c>
      <c r="CB132" s="1">
        <v>0</v>
      </c>
      <c r="CC132" s="1">
        <v>0</v>
      </c>
      <c r="CD132" s="1">
        <v>15</v>
      </c>
      <c r="CE132" s="1">
        <v>0</v>
      </c>
      <c r="CF132" s="1">
        <v>0</v>
      </c>
      <c r="CG132" s="1">
        <v>0</v>
      </c>
      <c r="CH132" s="1">
        <v>5</v>
      </c>
      <c r="CI132" s="1">
        <v>15</v>
      </c>
      <c r="CJ132" s="1">
        <v>0</v>
      </c>
      <c r="CK132" s="1">
        <v>0</v>
      </c>
      <c r="CL132" s="1">
        <v>0</v>
      </c>
      <c r="CM132" s="1">
        <v>4</v>
      </c>
      <c r="CN132" s="1">
        <v>0</v>
      </c>
      <c r="CO132" s="1">
        <v>0</v>
      </c>
      <c r="CP132" s="1">
        <v>0</v>
      </c>
      <c r="CQ132" s="1">
        <v>1</v>
      </c>
      <c r="CR132" s="1">
        <v>6</v>
      </c>
      <c r="CS132" s="1">
        <v>0</v>
      </c>
      <c r="CT132" s="1">
        <v>0</v>
      </c>
      <c r="CU132" s="1">
        <v>0</v>
      </c>
      <c r="CV132" s="1">
        <v>54</v>
      </c>
      <c r="CW132" s="1">
        <v>4</v>
      </c>
      <c r="CX132" s="1">
        <v>0</v>
      </c>
      <c r="CY132" s="1">
        <v>0</v>
      </c>
      <c r="CZ132" s="1">
        <v>0</v>
      </c>
      <c r="DA132" s="1">
        <v>0</v>
      </c>
      <c r="DB132" s="1">
        <v>2</v>
      </c>
      <c r="DC132" s="1">
        <v>1</v>
      </c>
      <c r="DD132" s="1">
        <v>0</v>
      </c>
      <c r="DE132" s="1">
        <v>1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1</v>
      </c>
      <c r="DL132" s="1">
        <v>3</v>
      </c>
      <c r="DM132" s="1">
        <v>0</v>
      </c>
      <c r="DN132" s="1">
        <v>1</v>
      </c>
      <c r="DO132" s="1">
        <v>0</v>
      </c>
      <c r="DP132" s="1">
        <v>0</v>
      </c>
      <c r="DQ132" s="1">
        <v>0</v>
      </c>
      <c r="DR132" s="1">
        <v>1</v>
      </c>
      <c r="DS132" s="1">
        <v>1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1</v>
      </c>
      <c r="EA132" s="1">
        <v>0</v>
      </c>
      <c r="EB132" s="1">
        <v>0</v>
      </c>
      <c r="EC132" s="1">
        <v>0</v>
      </c>
      <c r="ED132" s="1">
        <v>1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2</v>
      </c>
      <c r="EL132" s="1">
        <v>0</v>
      </c>
      <c r="EM132" s="1">
        <v>0</v>
      </c>
      <c r="EN132" s="1">
        <v>0</v>
      </c>
      <c r="EO132" s="1">
        <v>1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1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2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1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</v>
      </c>
    </row>
    <row r="133" spans="1:242" x14ac:dyDescent="0.25">
      <c r="A133">
        <v>16003</v>
      </c>
      <c r="B133">
        <v>7</v>
      </c>
      <c r="C133">
        <v>14</v>
      </c>
      <c r="D133" t="s">
        <v>225</v>
      </c>
      <c r="E133" t="s">
        <v>223</v>
      </c>
      <c r="F133">
        <v>3</v>
      </c>
      <c r="G133">
        <v>34.572333329999999</v>
      </c>
      <c r="H133">
        <v>17.59941667</v>
      </c>
      <c r="I133">
        <v>24.174436010000001</v>
      </c>
      <c r="J133">
        <v>94.533333330000005</v>
      </c>
      <c r="K133">
        <v>31.283333330000001</v>
      </c>
      <c r="L133">
        <v>69.597023809999996</v>
      </c>
      <c r="M133">
        <v>14.262970899999999</v>
      </c>
      <c r="N133">
        <v>1.61</v>
      </c>
      <c r="O133">
        <v>1.82</v>
      </c>
      <c r="P133" t="s">
        <v>216</v>
      </c>
      <c r="Q133" t="s">
        <v>216</v>
      </c>
      <c r="R133" t="s">
        <v>217</v>
      </c>
      <c r="S133" t="s">
        <v>216</v>
      </c>
      <c r="T133" t="s">
        <v>216</v>
      </c>
      <c r="U133" t="s">
        <v>217</v>
      </c>
      <c r="V133">
        <f t="shared" si="8"/>
        <v>51</v>
      </c>
      <c r="W133">
        <f t="shared" si="9"/>
        <v>306</v>
      </c>
      <c r="X133">
        <f t="shared" si="10"/>
        <v>3.6428571428571428</v>
      </c>
      <c r="Y133">
        <f t="shared" si="11"/>
        <v>21.857142857142858</v>
      </c>
      <c r="Z133" s="1">
        <v>0</v>
      </c>
      <c r="AA133" s="1">
        <v>5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2</v>
      </c>
      <c r="AI133" s="1">
        <v>2</v>
      </c>
      <c r="AJ133" s="1">
        <v>0</v>
      </c>
      <c r="AK133" s="1">
        <v>1</v>
      </c>
      <c r="AL133" s="1">
        <v>0</v>
      </c>
      <c r="AM133" s="1">
        <v>25</v>
      </c>
      <c r="AN133" s="1">
        <v>3</v>
      </c>
      <c r="AO133" s="1">
        <v>0</v>
      </c>
      <c r="AP133" s="1">
        <v>14</v>
      </c>
      <c r="AQ133" s="1">
        <v>0</v>
      </c>
      <c r="AR133" s="1">
        <v>3</v>
      </c>
      <c r="AS133" s="1">
        <v>0</v>
      </c>
      <c r="AT133" s="1">
        <v>2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3</v>
      </c>
      <c r="BB133" s="1">
        <v>1</v>
      </c>
      <c r="BC133" s="1">
        <v>0</v>
      </c>
      <c r="BD133" s="1">
        <v>0</v>
      </c>
      <c r="BE133" s="1">
        <v>0</v>
      </c>
      <c r="BF133" s="1">
        <v>3</v>
      </c>
      <c r="BG133" s="1">
        <v>0</v>
      </c>
      <c r="BH133" s="1">
        <v>0</v>
      </c>
      <c r="BI133" s="1">
        <v>1</v>
      </c>
      <c r="BJ133" s="1">
        <v>0</v>
      </c>
      <c r="BK133" s="1">
        <v>0</v>
      </c>
      <c r="BL133" s="1">
        <v>9</v>
      </c>
      <c r="BM133" s="1">
        <v>1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1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37</v>
      </c>
      <c r="CA133" s="1">
        <v>3</v>
      </c>
      <c r="CB133" s="1">
        <v>0</v>
      </c>
      <c r="CC133" s="1">
        <v>0</v>
      </c>
      <c r="CD133" s="1">
        <v>14</v>
      </c>
      <c r="CE133" s="1">
        <v>0</v>
      </c>
      <c r="CF133" s="1">
        <v>0</v>
      </c>
      <c r="CG133" s="1">
        <v>0</v>
      </c>
      <c r="CH133" s="1">
        <v>0</v>
      </c>
      <c r="CI133" s="1">
        <v>14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6</v>
      </c>
      <c r="CS133" s="1">
        <v>0</v>
      </c>
      <c r="CT133" s="1">
        <v>0</v>
      </c>
      <c r="CU133" s="1">
        <v>0</v>
      </c>
      <c r="CV133" s="1">
        <v>21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1</v>
      </c>
      <c r="DD133" s="1">
        <v>0</v>
      </c>
      <c r="DE133" s="1">
        <v>0</v>
      </c>
      <c r="DF133" s="1">
        <v>0</v>
      </c>
      <c r="DG133" s="1">
        <v>4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1</v>
      </c>
      <c r="DP133" s="1">
        <v>0</v>
      </c>
      <c r="DQ133" s="1">
        <v>0</v>
      </c>
      <c r="DR133" s="1">
        <v>0</v>
      </c>
      <c r="DS133" s="1">
        <v>1</v>
      </c>
      <c r="DT133" s="1">
        <v>0</v>
      </c>
      <c r="DU133" s="1">
        <v>0</v>
      </c>
      <c r="DV133" s="1">
        <v>1</v>
      </c>
      <c r="DW133" s="1">
        <v>6</v>
      </c>
      <c r="DX133" s="1">
        <v>1</v>
      </c>
      <c r="DY133" s="1">
        <v>0</v>
      </c>
      <c r="DZ133" s="1">
        <v>39</v>
      </c>
      <c r="EA133" s="1">
        <v>0</v>
      </c>
      <c r="EB133" s="1">
        <v>15</v>
      </c>
      <c r="EC133" s="1">
        <v>0</v>
      </c>
      <c r="ED133" s="1">
        <v>0</v>
      </c>
      <c r="EE133" s="1">
        <v>1</v>
      </c>
      <c r="EF133" s="1">
        <v>0</v>
      </c>
      <c r="EG133" s="1">
        <v>0</v>
      </c>
      <c r="EH133" s="1">
        <v>3</v>
      </c>
      <c r="EI133" s="1">
        <v>0</v>
      </c>
      <c r="EJ133" s="1">
        <v>0</v>
      </c>
      <c r="EK133" s="1">
        <v>35</v>
      </c>
      <c r="EL133" s="1">
        <v>0</v>
      </c>
      <c r="EM133" s="1">
        <v>2</v>
      </c>
      <c r="EN133" s="1">
        <v>0</v>
      </c>
      <c r="EO133" s="1">
        <v>0</v>
      </c>
      <c r="EP133" s="1">
        <v>1</v>
      </c>
      <c r="EQ133" s="1">
        <v>0</v>
      </c>
      <c r="ER133" s="1">
        <v>1</v>
      </c>
      <c r="ES133" s="1">
        <v>0</v>
      </c>
      <c r="ET133" s="1">
        <v>0</v>
      </c>
      <c r="EU133" s="1">
        <v>0</v>
      </c>
      <c r="EV133" s="1">
        <v>0</v>
      </c>
      <c r="EW133" s="1">
        <v>1</v>
      </c>
      <c r="EX133" s="1">
        <v>0</v>
      </c>
      <c r="EY133" s="1">
        <v>0</v>
      </c>
      <c r="EZ133" s="1">
        <v>1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4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5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1</v>
      </c>
      <c r="GC133" s="1">
        <v>0</v>
      </c>
      <c r="GD133" s="1">
        <v>0</v>
      </c>
      <c r="GE133" s="1">
        <v>1</v>
      </c>
      <c r="GF133" s="1">
        <v>0</v>
      </c>
      <c r="GG133" s="1">
        <v>0</v>
      </c>
      <c r="GH133" s="1">
        <v>1</v>
      </c>
      <c r="GI133" s="1">
        <v>0</v>
      </c>
      <c r="GJ133" s="1">
        <v>1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1</v>
      </c>
      <c r="HG133">
        <v>2</v>
      </c>
      <c r="HH133">
        <v>0</v>
      </c>
      <c r="HI133">
        <v>0</v>
      </c>
      <c r="HJ133">
        <v>1</v>
      </c>
      <c r="HK133">
        <v>0</v>
      </c>
      <c r="HL133">
        <v>0</v>
      </c>
      <c r="HM133">
        <v>0</v>
      </c>
      <c r="HN133">
        <v>1</v>
      </c>
      <c r="HO133">
        <v>0</v>
      </c>
      <c r="HP133">
        <v>2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</row>
    <row r="134" spans="1:242" x14ac:dyDescent="0.25">
      <c r="A134">
        <v>16009</v>
      </c>
      <c r="B134">
        <v>31</v>
      </c>
      <c r="C134">
        <v>7</v>
      </c>
      <c r="D134" t="s">
        <v>224</v>
      </c>
      <c r="E134" t="s">
        <v>220</v>
      </c>
      <c r="F134">
        <v>4</v>
      </c>
      <c r="G134">
        <v>34.000500000000002</v>
      </c>
      <c r="H134">
        <v>11.132666670000001</v>
      </c>
      <c r="I134">
        <v>19.702069439999999</v>
      </c>
      <c r="J134">
        <v>88.45</v>
      </c>
      <c r="K134">
        <v>9.4166666669999994</v>
      </c>
      <c r="L134">
        <v>48.216021830000003</v>
      </c>
      <c r="M134">
        <v>13.98369724</v>
      </c>
      <c r="N134">
        <v>1.77</v>
      </c>
      <c r="O134">
        <v>-1.43</v>
      </c>
      <c r="P134" t="s">
        <v>217</v>
      </c>
      <c r="Q134" t="s">
        <v>216</v>
      </c>
      <c r="R134" t="s">
        <v>217</v>
      </c>
      <c r="S134" t="s">
        <v>216</v>
      </c>
      <c r="T134" t="s">
        <v>216</v>
      </c>
      <c r="U134" t="s">
        <v>217</v>
      </c>
      <c r="V134">
        <f t="shared" si="8"/>
        <v>47</v>
      </c>
      <c r="W134">
        <f t="shared" si="9"/>
        <v>266</v>
      </c>
      <c r="X134">
        <f t="shared" si="10"/>
        <v>6.7142857142857144</v>
      </c>
      <c r="Y134">
        <f t="shared" si="11"/>
        <v>38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1</v>
      </c>
      <c r="AK134" s="1">
        <v>0</v>
      </c>
      <c r="AL134" s="1">
        <v>0</v>
      </c>
      <c r="AM134" s="1">
        <v>62</v>
      </c>
      <c r="AN134" s="1">
        <v>6</v>
      </c>
      <c r="AO134" s="1">
        <v>0</v>
      </c>
      <c r="AP134" s="1">
        <v>1</v>
      </c>
      <c r="AQ134" s="1">
        <v>0</v>
      </c>
      <c r="AR134" s="1">
        <v>3</v>
      </c>
      <c r="AS134" s="1">
        <v>1</v>
      </c>
      <c r="AT134" s="1">
        <v>2</v>
      </c>
      <c r="AU134" s="1">
        <v>0</v>
      </c>
      <c r="AV134" s="1">
        <v>0</v>
      </c>
      <c r="AW134" s="1">
        <v>0</v>
      </c>
      <c r="AX134" s="1">
        <v>1</v>
      </c>
      <c r="AY134" s="1">
        <v>0</v>
      </c>
      <c r="AZ134" s="1">
        <v>0</v>
      </c>
      <c r="BA134" s="1">
        <v>2</v>
      </c>
      <c r="BB134" s="1">
        <v>0</v>
      </c>
      <c r="BC134" s="1">
        <v>0</v>
      </c>
      <c r="BD134" s="1">
        <v>0</v>
      </c>
      <c r="BE134" s="1">
        <v>2</v>
      </c>
      <c r="BF134" s="1">
        <v>6</v>
      </c>
      <c r="BG134" s="1">
        <v>29</v>
      </c>
      <c r="BH134" s="1">
        <v>0</v>
      </c>
      <c r="BI134" s="1">
        <v>0</v>
      </c>
      <c r="BJ134" s="1">
        <v>0</v>
      </c>
      <c r="BK134" s="1">
        <v>0</v>
      </c>
      <c r="BL134" s="1">
        <v>8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1</v>
      </c>
      <c r="BU134" s="1">
        <v>0</v>
      </c>
      <c r="BV134" s="1">
        <v>0</v>
      </c>
      <c r="BW134" s="1">
        <v>0</v>
      </c>
      <c r="BX134" s="1">
        <v>0</v>
      </c>
      <c r="BY134" s="1">
        <v>1</v>
      </c>
      <c r="BZ134" s="1">
        <v>9</v>
      </c>
      <c r="CA134" s="1">
        <v>6</v>
      </c>
      <c r="CB134" s="1">
        <v>0</v>
      </c>
      <c r="CC134" s="1">
        <v>0</v>
      </c>
      <c r="CD134" s="1">
        <v>10</v>
      </c>
      <c r="CE134" s="1">
        <v>0</v>
      </c>
      <c r="CF134" s="1">
        <v>0</v>
      </c>
      <c r="CG134" s="1">
        <v>0</v>
      </c>
      <c r="CH134" s="1">
        <v>3</v>
      </c>
      <c r="CI134" s="1">
        <v>9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9</v>
      </c>
      <c r="CS134" s="1">
        <v>0</v>
      </c>
      <c r="CT134" s="1">
        <v>0</v>
      </c>
      <c r="CU134" s="1">
        <v>0</v>
      </c>
      <c r="CV134" s="1">
        <v>22</v>
      </c>
      <c r="CW134" s="1">
        <v>1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3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1</v>
      </c>
      <c r="DQ134" s="1">
        <v>0</v>
      </c>
      <c r="DR134" s="1">
        <v>0</v>
      </c>
      <c r="DS134" s="1">
        <v>23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2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1</v>
      </c>
      <c r="EI134" s="1">
        <v>0</v>
      </c>
      <c r="EJ134" s="1">
        <v>0</v>
      </c>
      <c r="EK134" s="1">
        <v>1</v>
      </c>
      <c r="EL134" s="1">
        <v>0</v>
      </c>
      <c r="EM134" s="1">
        <v>0</v>
      </c>
      <c r="EN134" s="1">
        <v>0</v>
      </c>
      <c r="EO134" s="1">
        <v>1</v>
      </c>
      <c r="EP134" s="1">
        <v>0</v>
      </c>
      <c r="EQ134" s="1">
        <v>0</v>
      </c>
      <c r="ER134" s="1">
        <v>1</v>
      </c>
      <c r="ES134" s="1">
        <v>0</v>
      </c>
      <c r="ET134" s="1">
        <v>0</v>
      </c>
      <c r="EU134" s="1">
        <v>1</v>
      </c>
      <c r="EV134" s="1">
        <v>0</v>
      </c>
      <c r="EW134" s="1">
        <v>0</v>
      </c>
      <c r="EX134" s="1">
        <v>0</v>
      </c>
      <c r="EY134" s="1">
        <v>0</v>
      </c>
      <c r="EZ134" s="1">
        <v>3</v>
      </c>
      <c r="FA134" s="1">
        <v>1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3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1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1</v>
      </c>
      <c r="GG134" s="1">
        <v>0</v>
      </c>
      <c r="GH134" s="1">
        <v>2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2</v>
      </c>
      <c r="HF134">
        <v>0</v>
      </c>
      <c r="HG134">
        <v>0</v>
      </c>
      <c r="HH134">
        <v>7</v>
      </c>
      <c r="HI134">
        <v>1</v>
      </c>
      <c r="HJ134">
        <v>0</v>
      </c>
      <c r="HK134">
        <v>0</v>
      </c>
      <c r="HL134">
        <v>1</v>
      </c>
      <c r="HM134">
        <v>0</v>
      </c>
      <c r="HN134">
        <v>0</v>
      </c>
      <c r="HO134">
        <v>0</v>
      </c>
      <c r="HP134">
        <v>3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1</v>
      </c>
      <c r="IC134">
        <v>0</v>
      </c>
      <c r="ID134">
        <v>0</v>
      </c>
      <c r="IE134">
        <v>1</v>
      </c>
      <c r="IF134">
        <v>9</v>
      </c>
      <c r="IG134">
        <v>0</v>
      </c>
      <c r="IH134">
        <v>0</v>
      </c>
    </row>
    <row r="135" spans="1:242" x14ac:dyDescent="0.25">
      <c r="A135">
        <v>16013</v>
      </c>
      <c r="B135">
        <v>17</v>
      </c>
      <c r="C135">
        <v>7</v>
      </c>
      <c r="D135" t="s">
        <v>224</v>
      </c>
      <c r="E135" t="s">
        <v>220</v>
      </c>
      <c r="F135">
        <v>6</v>
      </c>
      <c r="G135">
        <v>35.862833330000001</v>
      </c>
      <c r="H135">
        <v>10.615500000000001</v>
      </c>
      <c r="I135">
        <v>19.904405260000001</v>
      </c>
      <c r="J135">
        <v>87.791666669999998</v>
      </c>
      <c r="K135">
        <v>10.16666667</v>
      </c>
      <c r="L135">
        <v>46.737003970000004</v>
      </c>
      <c r="M135">
        <v>13.987772919999999</v>
      </c>
      <c r="N135">
        <v>2.0299999999999998</v>
      </c>
      <c r="O135">
        <v>-1.56</v>
      </c>
      <c r="P135" t="s">
        <v>216</v>
      </c>
      <c r="Q135" t="s">
        <v>217</v>
      </c>
      <c r="R135" t="s">
        <v>217</v>
      </c>
      <c r="S135" t="s">
        <v>217</v>
      </c>
      <c r="T135" t="s">
        <v>217</v>
      </c>
      <c r="U135" t="s">
        <v>216</v>
      </c>
      <c r="V135">
        <f t="shared" si="8"/>
        <v>31</v>
      </c>
      <c r="W135">
        <f t="shared" si="9"/>
        <v>233</v>
      </c>
      <c r="X135">
        <f t="shared" si="10"/>
        <v>4.4285714285714288</v>
      </c>
      <c r="Y135">
        <f t="shared" si="11"/>
        <v>33.285714285714285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7</v>
      </c>
      <c r="AI135" s="1">
        <v>3</v>
      </c>
      <c r="AJ135" s="1">
        <v>0</v>
      </c>
      <c r="AK135" s="1">
        <v>0</v>
      </c>
      <c r="AL135" s="1">
        <v>0</v>
      </c>
      <c r="AM135" s="1">
        <v>68</v>
      </c>
      <c r="AN135" s="1">
        <v>1</v>
      </c>
      <c r="AO135" s="1">
        <v>0</v>
      </c>
      <c r="AP135" s="1">
        <v>7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2</v>
      </c>
      <c r="BH135" s="1">
        <v>0</v>
      </c>
      <c r="BI135" s="1">
        <v>0</v>
      </c>
      <c r="BJ135" s="1">
        <v>0</v>
      </c>
      <c r="BK135" s="1">
        <v>0</v>
      </c>
      <c r="BL135" s="1">
        <v>9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1</v>
      </c>
      <c r="BV135" s="1">
        <v>0</v>
      </c>
      <c r="BW135" s="1">
        <v>0</v>
      </c>
      <c r="BX135" s="1">
        <v>0</v>
      </c>
      <c r="BY135" s="1">
        <v>0</v>
      </c>
      <c r="BZ135" s="1">
        <v>40</v>
      </c>
      <c r="CA135" s="1">
        <v>2</v>
      </c>
      <c r="CB135" s="1">
        <v>0</v>
      </c>
      <c r="CC135" s="1">
        <v>0</v>
      </c>
      <c r="CD135" s="1">
        <v>32</v>
      </c>
      <c r="CE135" s="1">
        <v>0</v>
      </c>
      <c r="CF135" s="1">
        <v>0</v>
      </c>
      <c r="CG135" s="1">
        <v>4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1</v>
      </c>
      <c r="CU135" s="1">
        <v>0</v>
      </c>
      <c r="CV135" s="1">
        <v>9</v>
      </c>
      <c r="CW135" s="1">
        <v>2</v>
      </c>
      <c r="CX135" s="1">
        <v>0</v>
      </c>
      <c r="CY135" s="1">
        <v>0</v>
      </c>
      <c r="CZ135" s="1">
        <v>0</v>
      </c>
      <c r="DA135" s="1">
        <v>0</v>
      </c>
      <c r="DB135" s="1">
        <v>12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3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1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6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3</v>
      </c>
      <c r="FU135" s="1">
        <v>0</v>
      </c>
      <c r="FV135" s="1">
        <v>0</v>
      </c>
      <c r="FW135" s="1">
        <v>0</v>
      </c>
      <c r="FX135" s="1">
        <v>0</v>
      </c>
      <c r="FY135" s="1">
        <v>1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1</v>
      </c>
      <c r="GG135" s="1">
        <v>0</v>
      </c>
      <c r="GH135" s="1">
        <v>2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0</v>
      </c>
      <c r="GZ135">
        <v>0</v>
      </c>
      <c r="HA135">
        <v>0</v>
      </c>
      <c r="HB135">
        <v>1</v>
      </c>
      <c r="HC135">
        <v>1</v>
      </c>
      <c r="HD135">
        <v>0</v>
      </c>
      <c r="HE135">
        <v>0</v>
      </c>
      <c r="HF135">
        <v>0</v>
      </c>
      <c r="HG135">
        <v>1</v>
      </c>
      <c r="HH135">
        <v>0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9</v>
      </c>
    </row>
    <row r="136" spans="1:242" x14ac:dyDescent="0.25">
      <c r="A136">
        <v>16018</v>
      </c>
      <c r="B136">
        <v>24</v>
      </c>
      <c r="C136">
        <v>7</v>
      </c>
      <c r="D136" t="s">
        <v>224</v>
      </c>
      <c r="E136" t="s">
        <v>220</v>
      </c>
      <c r="F136">
        <v>3</v>
      </c>
      <c r="G136">
        <v>35.117166670000003</v>
      </c>
      <c r="H136">
        <v>14.875999999999999</v>
      </c>
      <c r="I136">
        <v>20.904483129999999</v>
      </c>
      <c r="J136">
        <v>89.275000000000006</v>
      </c>
      <c r="K136">
        <v>8.1916666669999998</v>
      </c>
      <c r="L136">
        <v>49.310813490000001</v>
      </c>
      <c r="M136">
        <v>13.986105609999999</v>
      </c>
      <c r="N136">
        <v>2.2999999999999998</v>
      </c>
      <c r="O136">
        <v>-0.96099999999999997</v>
      </c>
      <c r="P136" t="s">
        <v>217</v>
      </c>
      <c r="Q136" t="s">
        <v>217</v>
      </c>
      <c r="R136" t="s">
        <v>217</v>
      </c>
      <c r="S136" t="s">
        <v>217</v>
      </c>
      <c r="T136" t="s">
        <v>217</v>
      </c>
      <c r="U136" t="s">
        <v>217</v>
      </c>
      <c r="V136">
        <f t="shared" si="8"/>
        <v>37</v>
      </c>
      <c r="W136">
        <f t="shared" si="9"/>
        <v>246</v>
      </c>
      <c r="X136">
        <f t="shared" si="10"/>
        <v>5.2857142857142856</v>
      </c>
      <c r="Y136">
        <f t="shared" si="11"/>
        <v>35.142857142857146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16</v>
      </c>
      <c r="AG136" s="1">
        <v>0</v>
      </c>
      <c r="AH136" s="1">
        <v>9</v>
      </c>
      <c r="AI136" s="1">
        <v>1</v>
      </c>
      <c r="AJ136" s="1">
        <v>0</v>
      </c>
      <c r="AK136" s="1">
        <v>0</v>
      </c>
      <c r="AL136" s="1">
        <v>0</v>
      </c>
      <c r="AM136" s="1">
        <v>72</v>
      </c>
      <c r="AN136" s="1">
        <v>1</v>
      </c>
      <c r="AO136" s="1">
        <v>0</v>
      </c>
      <c r="AP136" s="1">
        <v>2</v>
      </c>
      <c r="AQ136" s="1">
        <v>0</v>
      </c>
      <c r="AR136" s="1">
        <v>0</v>
      </c>
      <c r="AS136" s="1">
        <v>1</v>
      </c>
      <c r="AT136" s="1">
        <v>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</v>
      </c>
      <c r="BG136" s="1">
        <v>1</v>
      </c>
      <c r="BH136" s="1">
        <v>0</v>
      </c>
      <c r="BI136" s="1">
        <v>0</v>
      </c>
      <c r="BJ136" s="1">
        <v>0</v>
      </c>
      <c r="BK136" s="1">
        <v>0</v>
      </c>
      <c r="BL136" s="1">
        <v>32</v>
      </c>
      <c r="BM136" s="1">
        <v>1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43</v>
      </c>
      <c r="CA136" s="1">
        <v>2</v>
      </c>
      <c r="CB136" s="1">
        <v>0</v>
      </c>
      <c r="CC136" s="1">
        <v>0</v>
      </c>
      <c r="CD136" s="1">
        <v>6</v>
      </c>
      <c r="CE136" s="1">
        <v>0</v>
      </c>
      <c r="CF136" s="1">
        <v>0</v>
      </c>
      <c r="CG136" s="1">
        <v>1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3</v>
      </c>
      <c r="CS136" s="1">
        <v>0</v>
      </c>
      <c r="CT136" s="1">
        <v>0</v>
      </c>
      <c r="CU136" s="1">
        <v>0</v>
      </c>
      <c r="CV136" s="1">
        <v>22</v>
      </c>
      <c r="CW136" s="1">
        <v>4</v>
      </c>
      <c r="CX136" s="1">
        <v>0</v>
      </c>
      <c r="CY136" s="1">
        <v>0</v>
      </c>
      <c r="CZ136" s="1">
        <v>0</v>
      </c>
      <c r="DA136" s="1">
        <v>0</v>
      </c>
      <c r="DB136" s="1">
        <v>1</v>
      </c>
      <c r="DC136" s="1">
        <v>0</v>
      </c>
      <c r="DD136" s="1">
        <v>0</v>
      </c>
      <c r="DE136" s="1">
        <v>0</v>
      </c>
      <c r="DF136" s="1">
        <v>0</v>
      </c>
      <c r="DG136" s="1">
        <v>2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1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3</v>
      </c>
      <c r="EL136" s="1">
        <v>0</v>
      </c>
      <c r="EM136" s="1">
        <v>0</v>
      </c>
      <c r="EN136" s="1">
        <v>1</v>
      </c>
      <c r="EO136" s="1">
        <v>0</v>
      </c>
      <c r="EP136" s="1">
        <v>0</v>
      </c>
      <c r="EQ136" s="1">
        <v>0</v>
      </c>
      <c r="ER136" s="1">
        <v>1</v>
      </c>
      <c r="ES136" s="1">
        <v>0</v>
      </c>
      <c r="ET136" s="1">
        <v>0</v>
      </c>
      <c r="EU136" s="1">
        <v>1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2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1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1</v>
      </c>
      <c r="GC136" s="1">
        <v>0</v>
      </c>
      <c r="GD136" s="1">
        <v>0</v>
      </c>
      <c r="GE136" s="1">
        <v>2</v>
      </c>
      <c r="GF136" s="1">
        <v>0</v>
      </c>
      <c r="GG136" s="1">
        <v>0</v>
      </c>
      <c r="GH136" s="1">
        <v>0</v>
      </c>
      <c r="GI136" s="1">
        <v>0</v>
      </c>
      <c r="GJ136" s="1">
        <v>3</v>
      </c>
      <c r="GK136" s="1">
        <v>0</v>
      </c>
      <c r="GL136" s="1">
        <v>0</v>
      </c>
      <c r="GM136" s="1">
        <v>0</v>
      </c>
      <c r="GN136" s="1">
        <v>0</v>
      </c>
      <c r="GO136" s="1">
        <v>1</v>
      </c>
      <c r="GP136" s="1">
        <v>0</v>
      </c>
      <c r="GQ136" s="1">
        <v>0</v>
      </c>
      <c r="GR136" s="1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1</v>
      </c>
      <c r="GY136">
        <v>0</v>
      </c>
      <c r="GZ136">
        <v>0</v>
      </c>
      <c r="HA136">
        <v>0</v>
      </c>
      <c r="HB136">
        <v>0</v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2</v>
      </c>
    </row>
    <row r="137" spans="1:242" x14ac:dyDescent="0.25">
      <c r="A137">
        <v>16025</v>
      </c>
      <c r="B137">
        <v>21</v>
      </c>
      <c r="C137">
        <v>7</v>
      </c>
      <c r="D137" t="s">
        <v>224</v>
      </c>
      <c r="E137" t="s">
        <v>220</v>
      </c>
      <c r="F137">
        <v>5</v>
      </c>
      <c r="G137">
        <v>35.099916669999999</v>
      </c>
      <c r="H137">
        <v>11.13</v>
      </c>
      <c r="I137">
        <v>20.07418998</v>
      </c>
      <c r="J137">
        <v>89.908333330000005</v>
      </c>
      <c r="K137">
        <v>8.7166666670000001</v>
      </c>
      <c r="L137">
        <v>46.181448410000002</v>
      </c>
      <c r="M137">
        <v>13.98857136</v>
      </c>
      <c r="N137">
        <v>1.84</v>
      </c>
      <c r="O137">
        <v>-1.47</v>
      </c>
      <c r="P137" t="s">
        <v>217</v>
      </c>
      <c r="Q137" t="s">
        <v>217</v>
      </c>
      <c r="R137" t="s">
        <v>217</v>
      </c>
      <c r="S137" t="s">
        <v>217</v>
      </c>
      <c r="T137" t="s">
        <v>217</v>
      </c>
      <c r="U137" t="s">
        <v>217</v>
      </c>
      <c r="V137">
        <f t="shared" si="8"/>
        <v>12</v>
      </c>
      <c r="W137">
        <f t="shared" si="9"/>
        <v>112</v>
      </c>
      <c r="X137">
        <f t="shared" si="10"/>
        <v>1.7142857142857142</v>
      </c>
      <c r="Y137">
        <f t="shared" si="11"/>
        <v>16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90</v>
      </c>
      <c r="AN137" s="1">
        <v>0</v>
      </c>
      <c r="AO137" s="1">
        <v>0</v>
      </c>
      <c r="AP137" s="1">
        <v>1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1</v>
      </c>
      <c r="BZ137" s="1">
        <v>1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8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1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3</v>
      </c>
      <c r="HF137">
        <v>2</v>
      </c>
      <c r="HG137">
        <v>0</v>
      </c>
      <c r="HH137">
        <v>2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0</v>
      </c>
      <c r="IH137">
        <v>0</v>
      </c>
    </row>
    <row r="138" spans="1:242" x14ac:dyDescent="0.25">
      <c r="A138">
        <v>16029</v>
      </c>
      <c r="B138">
        <v>1</v>
      </c>
      <c r="C138">
        <v>7</v>
      </c>
      <c r="D138" t="s">
        <v>222</v>
      </c>
      <c r="E138" t="s">
        <v>223</v>
      </c>
      <c r="F138">
        <v>9</v>
      </c>
      <c r="G138">
        <v>28.374333329999999</v>
      </c>
      <c r="H138">
        <v>13.59958333</v>
      </c>
      <c r="I138">
        <v>19.671953370000001</v>
      </c>
      <c r="J138">
        <v>97.05</v>
      </c>
      <c r="K138">
        <v>42.641666669999999</v>
      </c>
      <c r="L138">
        <v>77.132539679999994</v>
      </c>
      <c r="M138">
        <v>14.404075519999999</v>
      </c>
      <c r="N138">
        <v>-0.56699999999999995</v>
      </c>
      <c r="O138">
        <v>2.2400000000000002</v>
      </c>
      <c r="P138" t="s">
        <v>216</v>
      </c>
      <c r="Q138" t="s">
        <v>216</v>
      </c>
      <c r="R138" t="s">
        <v>216</v>
      </c>
      <c r="S138" t="s">
        <v>216</v>
      </c>
      <c r="T138" t="s">
        <v>216</v>
      </c>
      <c r="U138" t="s">
        <v>216</v>
      </c>
      <c r="V138">
        <f t="shared" si="8"/>
        <v>36</v>
      </c>
      <c r="W138">
        <f t="shared" si="9"/>
        <v>157</v>
      </c>
      <c r="X138">
        <f t="shared" si="10"/>
        <v>5.1428571428571432</v>
      </c>
      <c r="Y138">
        <f t="shared" si="11"/>
        <v>22.428571428571427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4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6</v>
      </c>
      <c r="AN138" s="1">
        <v>0</v>
      </c>
      <c r="AO138" s="1">
        <v>0</v>
      </c>
      <c r="AP138" s="1">
        <v>1</v>
      </c>
      <c r="AQ138" s="1">
        <v>0</v>
      </c>
      <c r="AR138" s="1">
        <v>1</v>
      </c>
      <c r="AS138" s="1">
        <v>1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6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6</v>
      </c>
      <c r="CA138" s="1">
        <v>2</v>
      </c>
      <c r="CB138" s="1">
        <v>0</v>
      </c>
      <c r="CC138" s="1">
        <v>0</v>
      </c>
      <c r="CD138" s="1">
        <v>2</v>
      </c>
      <c r="CE138" s="1">
        <v>0</v>
      </c>
      <c r="CF138" s="1">
        <v>0</v>
      </c>
      <c r="CG138" s="1">
        <v>0</v>
      </c>
      <c r="CH138" s="1">
        <v>0</v>
      </c>
      <c r="CI138" s="1">
        <v>3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1</v>
      </c>
      <c r="CS138" s="1">
        <v>0</v>
      </c>
      <c r="CT138" s="1">
        <v>0</v>
      </c>
      <c r="CU138" s="1">
        <v>0</v>
      </c>
      <c r="CV138" s="1">
        <v>24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20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1</v>
      </c>
      <c r="DV138" s="1">
        <v>0</v>
      </c>
      <c r="DW138" s="1">
        <v>0</v>
      </c>
      <c r="DX138" s="1">
        <v>0</v>
      </c>
      <c r="DY138" s="1">
        <v>0</v>
      </c>
      <c r="DZ138" s="1">
        <v>9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2</v>
      </c>
      <c r="EI138" s="1">
        <v>0</v>
      </c>
      <c r="EJ138" s="1">
        <v>1</v>
      </c>
      <c r="EK138" s="1">
        <v>8</v>
      </c>
      <c r="EL138" s="1">
        <v>0</v>
      </c>
      <c r="EM138" s="1">
        <v>0</v>
      </c>
      <c r="EN138" s="1">
        <v>0</v>
      </c>
      <c r="EO138" s="1">
        <v>1</v>
      </c>
      <c r="EP138" s="1">
        <v>0</v>
      </c>
      <c r="EQ138" s="1">
        <v>2</v>
      </c>
      <c r="ER138" s="1">
        <v>1</v>
      </c>
      <c r="ES138" s="1">
        <v>0</v>
      </c>
      <c r="ET138" s="1">
        <v>0</v>
      </c>
      <c r="EU138" s="1">
        <v>2</v>
      </c>
      <c r="EV138" s="1">
        <v>0</v>
      </c>
      <c r="EW138" s="1">
        <v>0</v>
      </c>
      <c r="EX138" s="1">
        <v>0</v>
      </c>
      <c r="EY138" s="1">
        <v>0</v>
      </c>
      <c r="EZ138" s="1">
        <v>13</v>
      </c>
      <c r="FA138" s="1">
        <v>0</v>
      </c>
      <c r="FB138" s="1">
        <v>0</v>
      </c>
      <c r="FC138" s="1">
        <v>1</v>
      </c>
      <c r="FD138" s="1">
        <v>0</v>
      </c>
      <c r="FE138" s="1">
        <v>1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25</v>
      </c>
      <c r="FN138" s="1">
        <v>0</v>
      </c>
      <c r="FO138" s="1">
        <v>0</v>
      </c>
      <c r="FP138" s="1">
        <v>0</v>
      </c>
      <c r="FQ138" s="1">
        <v>0</v>
      </c>
      <c r="FR138" s="1">
        <v>1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1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1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1</v>
      </c>
      <c r="HG138">
        <v>0</v>
      </c>
      <c r="HH138">
        <v>0</v>
      </c>
      <c r="HI138">
        <v>0</v>
      </c>
      <c r="HJ138">
        <v>0</v>
      </c>
      <c r="HK138">
        <v>2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3</v>
      </c>
    </row>
    <row r="139" spans="1:242" x14ac:dyDescent="0.25">
      <c r="A139">
        <v>16032</v>
      </c>
      <c r="B139">
        <v>29</v>
      </c>
      <c r="C139">
        <v>7</v>
      </c>
      <c r="D139" t="s">
        <v>224</v>
      </c>
      <c r="E139" t="s">
        <v>220</v>
      </c>
      <c r="F139">
        <v>3</v>
      </c>
      <c r="G139">
        <v>36.622083330000002</v>
      </c>
      <c r="H139">
        <v>10.63025</v>
      </c>
      <c r="I139">
        <v>20.194797619999999</v>
      </c>
      <c r="J139">
        <v>85.825000000000003</v>
      </c>
      <c r="K139">
        <v>8.9666666670000001</v>
      </c>
      <c r="L139">
        <v>46.358878969999999</v>
      </c>
      <c r="M139">
        <v>13.98515755</v>
      </c>
      <c r="N139">
        <v>2.37</v>
      </c>
      <c r="O139">
        <v>-1.72</v>
      </c>
      <c r="P139" t="s">
        <v>217</v>
      </c>
      <c r="Q139" t="s">
        <v>217</v>
      </c>
      <c r="R139" t="s">
        <v>217</v>
      </c>
      <c r="S139" t="s">
        <v>217</v>
      </c>
      <c r="T139" t="s">
        <v>217</v>
      </c>
      <c r="U139" t="s">
        <v>217</v>
      </c>
      <c r="V139">
        <f t="shared" si="8"/>
        <v>37</v>
      </c>
      <c r="W139">
        <f t="shared" si="9"/>
        <v>183</v>
      </c>
      <c r="X139">
        <f t="shared" si="10"/>
        <v>5.2857142857142856</v>
      </c>
      <c r="Y139">
        <f t="shared" si="11"/>
        <v>26.142857142857142</v>
      </c>
      <c r="Z139" s="1">
        <v>0</v>
      </c>
      <c r="AA139" s="1">
        <v>4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6</v>
      </c>
      <c r="AI139" s="1">
        <v>1</v>
      </c>
      <c r="AJ139" s="1">
        <v>0</v>
      </c>
      <c r="AK139" s="1">
        <v>0</v>
      </c>
      <c r="AL139" s="1">
        <v>0</v>
      </c>
      <c r="AM139" s="1">
        <v>6</v>
      </c>
      <c r="AN139" s="1">
        <v>0</v>
      </c>
      <c r="AO139" s="1">
        <v>0</v>
      </c>
      <c r="AP139" s="1">
        <v>1</v>
      </c>
      <c r="AQ139" s="1">
        <v>0</v>
      </c>
      <c r="AR139" s="1">
        <v>2</v>
      </c>
      <c r="AS139" s="1">
        <v>1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5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19</v>
      </c>
      <c r="CA139" s="1">
        <v>2</v>
      </c>
      <c r="CB139" s="1">
        <v>0</v>
      </c>
      <c r="CC139" s="1">
        <v>0</v>
      </c>
      <c r="CD139" s="1">
        <v>1</v>
      </c>
      <c r="CE139" s="1">
        <v>0</v>
      </c>
      <c r="CF139" s="1">
        <v>0</v>
      </c>
      <c r="CG139" s="1">
        <v>0</v>
      </c>
      <c r="CH139" s="1">
        <v>1</v>
      </c>
      <c r="CI139" s="1">
        <v>2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15</v>
      </c>
      <c r="CS139" s="1">
        <v>0</v>
      </c>
      <c r="CT139" s="1">
        <v>0</v>
      </c>
      <c r="CU139" s="1">
        <v>0</v>
      </c>
      <c r="CV139" s="1">
        <v>23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7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38</v>
      </c>
      <c r="EA139" s="1">
        <v>0</v>
      </c>
      <c r="EB139" s="1">
        <v>11</v>
      </c>
      <c r="EC139" s="1">
        <v>1</v>
      </c>
      <c r="ED139" s="1">
        <v>0</v>
      </c>
      <c r="EE139" s="1">
        <v>0</v>
      </c>
      <c r="EF139" s="1">
        <v>0</v>
      </c>
      <c r="EG139" s="1">
        <v>0</v>
      </c>
      <c r="EH139" s="1">
        <v>5</v>
      </c>
      <c r="EI139" s="1">
        <v>0</v>
      </c>
      <c r="EJ139" s="1">
        <v>0</v>
      </c>
      <c r="EK139" s="1">
        <v>3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2</v>
      </c>
      <c r="ES139" s="1">
        <v>0</v>
      </c>
      <c r="ET139" s="1">
        <v>0</v>
      </c>
      <c r="EU139" s="1">
        <v>1</v>
      </c>
      <c r="EV139" s="1">
        <v>0</v>
      </c>
      <c r="EW139" s="1">
        <v>0</v>
      </c>
      <c r="EX139" s="1">
        <v>0</v>
      </c>
      <c r="EY139" s="1">
        <v>0</v>
      </c>
      <c r="EZ139" s="1">
        <v>1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1</v>
      </c>
      <c r="FH139" s="1">
        <v>0</v>
      </c>
      <c r="FI139" s="1">
        <v>0</v>
      </c>
      <c r="FJ139" s="1">
        <v>1</v>
      </c>
      <c r="FK139" s="1">
        <v>0</v>
      </c>
      <c r="FL139" s="1">
        <v>0</v>
      </c>
      <c r="FM139" s="1">
        <v>2</v>
      </c>
      <c r="FN139" s="1">
        <v>0</v>
      </c>
      <c r="FO139" s="1">
        <v>0</v>
      </c>
      <c r="FP139" s="1">
        <v>0</v>
      </c>
      <c r="FQ139" s="1">
        <v>1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1</v>
      </c>
      <c r="GI139" s="1">
        <v>0</v>
      </c>
      <c r="GJ139" s="1">
        <v>1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1</v>
      </c>
      <c r="GQ139" s="1">
        <v>0</v>
      </c>
      <c r="GR139" s="1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1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3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9</v>
      </c>
      <c r="IG139">
        <v>0</v>
      </c>
      <c r="IH139">
        <v>2</v>
      </c>
    </row>
    <row r="140" spans="1:242" x14ac:dyDescent="0.25">
      <c r="A140">
        <v>16038</v>
      </c>
      <c r="B140">
        <v>30</v>
      </c>
      <c r="C140">
        <v>10</v>
      </c>
      <c r="D140" t="s">
        <v>224</v>
      </c>
      <c r="E140" t="s">
        <v>220</v>
      </c>
      <c r="F140">
        <v>3</v>
      </c>
      <c r="G140">
        <v>34.537416669999999</v>
      </c>
      <c r="H140">
        <v>11.07775</v>
      </c>
      <c r="I140">
        <v>20.026186509999999</v>
      </c>
      <c r="J140">
        <v>87.666666669999998</v>
      </c>
      <c r="K140">
        <v>9.2916666669999994</v>
      </c>
      <c r="L140">
        <v>47.034126980000003</v>
      </c>
      <c r="M140">
        <v>13.98533821</v>
      </c>
      <c r="N140">
        <v>1.97</v>
      </c>
      <c r="O140">
        <v>-1.52</v>
      </c>
      <c r="P140" t="s">
        <v>217</v>
      </c>
      <c r="Q140" t="s">
        <v>217</v>
      </c>
      <c r="R140" t="s">
        <v>217</v>
      </c>
      <c r="S140" t="s">
        <v>216</v>
      </c>
      <c r="T140" t="s">
        <v>217</v>
      </c>
      <c r="U140" t="s">
        <v>217</v>
      </c>
      <c r="V140">
        <f t="shared" si="8"/>
        <v>34</v>
      </c>
      <c r="W140">
        <f t="shared" si="9"/>
        <v>890</v>
      </c>
      <c r="X140">
        <f t="shared" si="10"/>
        <v>3.4</v>
      </c>
      <c r="Y140">
        <f t="shared" si="11"/>
        <v>89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3</v>
      </c>
      <c r="AG140" s="1">
        <v>0</v>
      </c>
      <c r="AH140" s="1">
        <v>2</v>
      </c>
      <c r="AI140" s="1">
        <v>0</v>
      </c>
      <c r="AJ140" s="1">
        <v>0</v>
      </c>
      <c r="AK140" s="1">
        <v>1</v>
      </c>
      <c r="AL140" s="1">
        <v>0</v>
      </c>
      <c r="AM140" s="1">
        <v>223</v>
      </c>
      <c r="AN140" s="1">
        <v>2</v>
      </c>
      <c r="AO140" s="1">
        <v>0</v>
      </c>
      <c r="AP140" s="1">
        <v>6</v>
      </c>
      <c r="AQ140" s="1">
        <v>0</v>
      </c>
      <c r="AR140" s="1">
        <v>2</v>
      </c>
      <c r="AS140" s="1">
        <v>2</v>
      </c>
      <c r="AT140" s="1">
        <v>5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2</v>
      </c>
      <c r="BA140" s="1">
        <v>2</v>
      </c>
      <c r="BB140" s="1">
        <v>0</v>
      </c>
      <c r="BC140" s="1">
        <v>0</v>
      </c>
      <c r="BD140" s="1">
        <v>0</v>
      </c>
      <c r="BE140" s="1">
        <v>5</v>
      </c>
      <c r="BF140" s="1">
        <v>1</v>
      </c>
      <c r="BG140" s="1">
        <v>9</v>
      </c>
      <c r="BH140" s="1">
        <v>0</v>
      </c>
      <c r="BI140" s="1">
        <v>0</v>
      </c>
      <c r="BJ140" s="1">
        <v>0</v>
      </c>
      <c r="BK140" s="1">
        <v>0</v>
      </c>
      <c r="BL140" s="1">
        <v>38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110</v>
      </c>
      <c r="BT140" s="1">
        <v>3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29</v>
      </c>
      <c r="CA140" s="1">
        <v>9</v>
      </c>
      <c r="CB140" s="1">
        <v>0</v>
      </c>
      <c r="CC140" s="1">
        <v>0</v>
      </c>
      <c r="CD140" s="1">
        <v>70</v>
      </c>
      <c r="CE140" s="1">
        <v>0</v>
      </c>
      <c r="CF140" s="1">
        <v>0</v>
      </c>
      <c r="CG140" s="1">
        <v>0</v>
      </c>
      <c r="CH140" s="1">
        <v>1</v>
      </c>
      <c r="CI140" s="1">
        <v>12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54</v>
      </c>
      <c r="CS140" s="1">
        <v>0</v>
      </c>
      <c r="CT140" s="1">
        <v>1</v>
      </c>
      <c r="CU140" s="1">
        <v>0</v>
      </c>
      <c r="CV140" s="1">
        <v>197</v>
      </c>
      <c r="CW140" s="1">
        <v>2</v>
      </c>
      <c r="CX140" s="1">
        <v>0</v>
      </c>
      <c r="CY140" s="1">
        <v>0</v>
      </c>
      <c r="CZ140" s="1">
        <v>0</v>
      </c>
      <c r="DA140" s="1">
        <v>0</v>
      </c>
      <c r="DB140" s="1">
        <v>2</v>
      </c>
      <c r="DC140" s="1">
        <v>0</v>
      </c>
      <c r="DD140" s="1">
        <v>0</v>
      </c>
      <c r="DE140" s="1">
        <v>0</v>
      </c>
      <c r="DF140" s="1">
        <v>0</v>
      </c>
      <c r="DG140" s="1">
        <v>1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2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2</v>
      </c>
      <c r="FZ140" s="1">
        <v>0</v>
      </c>
      <c r="GA140" s="1">
        <v>0</v>
      </c>
      <c r="GB140" s="1">
        <v>1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3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16</v>
      </c>
      <c r="IG140">
        <v>0</v>
      </c>
      <c r="IH140">
        <v>72</v>
      </c>
    </row>
    <row r="141" spans="1:242" x14ac:dyDescent="0.25">
      <c r="A141">
        <v>16044</v>
      </c>
      <c r="B141">
        <v>28</v>
      </c>
      <c r="C141">
        <v>7</v>
      </c>
      <c r="D141" t="s">
        <v>224</v>
      </c>
      <c r="E141" t="s">
        <v>220</v>
      </c>
      <c r="F141">
        <v>6</v>
      </c>
      <c r="G141">
        <v>36.987749999999998</v>
      </c>
      <c r="H141">
        <v>9.6385000000000005</v>
      </c>
      <c r="I141">
        <v>19.935809519999999</v>
      </c>
      <c r="J141">
        <v>88.974999999999994</v>
      </c>
      <c r="K141">
        <v>8.65</v>
      </c>
      <c r="L141">
        <v>48.405158729999997</v>
      </c>
      <c r="M141">
        <v>13.98558757</v>
      </c>
      <c r="N141">
        <v>1.91</v>
      </c>
      <c r="O141">
        <v>-1.62</v>
      </c>
      <c r="P141" t="s">
        <v>216</v>
      </c>
      <c r="Q141" t="s">
        <v>217</v>
      </c>
      <c r="R141" t="s">
        <v>217</v>
      </c>
      <c r="S141" t="s">
        <v>217</v>
      </c>
      <c r="T141" t="s">
        <v>217</v>
      </c>
      <c r="U141" t="s">
        <v>216</v>
      </c>
      <c r="V141">
        <f t="shared" si="8"/>
        <v>40</v>
      </c>
      <c r="W141">
        <f t="shared" si="9"/>
        <v>556</v>
      </c>
      <c r="X141">
        <f t="shared" si="10"/>
        <v>5.7142857142857144</v>
      </c>
      <c r="Y141">
        <f t="shared" si="11"/>
        <v>79.428571428571431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9</v>
      </c>
      <c r="AI141" s="1">
        <v>4</v>
      </c>
      <c r="AJ141" s="1">
        <v>0</v>
      </c>
      <c r="AK141" s="1">
        <v>0</v>
      </c>
      <c r="AL141" s="1">
        <v>0</v>
      </c>
      <c r="AM141" s="1">
        <v>98</v>
      </c>
      <c r="AN141" s="1">
        <v>2</v>
      </c>
      <c r="AO141" s="1">
        <v>0</v>
      </c>
      <c r="AP141" s="1">
        <v>26</v>
      </c>
      <c r="AQ141" s="1">
        <v>0</v>
      </c>
      <c r="AR141" s="1">
        <v>0</v>
      </c>
      <c r="AS141" s="1">
        <v>6</v>
      </c>
      <c r="AT141" s="1">
        <v>9</v>
      </c>
      <c r="AU141" s="1">
        <v>0</v>
      </c>
      <c r="AV141" s="1">
        <v>0</v>
      </c>
      <c r="AW141" s="1">
        <v>0</v>
      </c>
      <c r="AX141" s="1">
        <v>1</v>
      </c>
      <c r="AY141" s="1">
        <v>0</v>
      </c>
      <c r="AZ141" s="1">
        <v>0</v>
      </c>
      <c r="BA141" s="1">
        <v>6</v>
      </c>
      <c r="BB141" s="1">
        <v>0</v>
      </c>
      <c r="BC141" s="1">
        <v>0</v>
      </c>
      <c r="BD141" s="1">
        <v>0</v>
      </c>
      <c r="BE141" s="1">
        <v>3</v>
      </c>
      <c r="BF141" s="1">
        <v>0</v>
      </c>
      <c r="BG141" s="1">
        <v>2</v>
      </c>
      <c r="BH141" s="1">
        <v>0</v>
      </c>
      <c r="BI141" s="1">
        <v>0</v>
      </c>
      <c r="BJ141" s="1">
        <v>0</v>
      </c>
      <c r="BK141" s="1">
        <v>0</v>
      </c>
      <c r="BL141" s="1">
        <v>31</v>
      </c>
      <c r="BM141" s="1">
        <v>0</v>
      </c>
      <c r="BN141" s="1">
        <v>0</v>
      </c>
      <c r="BO141" s="1">
        <v>1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3</v>
      </c>
      <c r="BX141" s="1">
        <v>0</v>
      </c>
      <c r="BY141" s="1">
        <v>2</v>
      </c>
      <c r="BZ141" s="1">
        <v>34</v>
      </c>
      <c r="CA141" s="1">
        <v>6</v>
      </c>
      <c r="CB141" s="1">
        <v>2</v>
      </c>
      <c r="CC141" s="1">
        <v>0</v>
      </c>
      <c r="CD141" s="1">
        <v>140</v>
      </c>
      <c r="CE141" s="1">
        <v>0</v>
      </c>
      <c r="CF141" s="1">
        <v>0</v>
      </c>
      <c r="CG141" s="1">
        <v>22</v>
      </c>
      <c r="CH141" s="1">
        <v>0</v>
      </c>
      <c r="CI141" s="1">
        <v>14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2</v>
      </c>
      <c r="CS141" s="1">
        <v>0</v>
      </c>
      <c r="CT141" s="1">
        <v>0</v>
      </c>
      <c r="CU141" s="1">
        <v>0</v>
      </c>
      <c r="CV141" s="1">
        <v>66</v>
      </c>
      <c r="CW141" s="1">
        <v>1</v>
      </c>
      <c r="CX141" s="1">
        <v>0</v>
      </c>
      <c r="CY141" s="1">
        <v>0</v>
      </c>
      <c r="CZ141" s="1">
        <v>0</v>
      </c>
      <c r="DA141" s="1">
        <v>0</v>
      </c>
      <c r="DB141" s="1">
        <v>14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4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3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2</v>
      </c>
      <c r="EI141" s="1">
        <v>0</v>
      </c>
      <c r="EJ141" s="1">
        <v>0</v>
      </c>
      <c r="EK141" s="1">
        <v>9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1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2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1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1</v>
      </c>
      <c r="GC141" s="1">
        <v>0</v>
      </c>
      <c r="GD141" s="1">
        <v>0</v>
      </c>
      <c r="GE141" s="1">
        <v>2</v>
      </c>
      <c r="GF141" s="1">
        <v>0</v>
      </c>
      <c r="GG141" s="1">
        <v>0</v>
      </c>
      <c r="GH141" s="1">
        <v>0</v>
      </c>
      <c r="GI141" s="1">
        <v>0</v>
      </c>
      <c r="GJ141" s="1">
        <v>6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2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3</v>
      </c>
      <c r="IG141">
        <v>0</v>
      </c>
      <c r="IH141">
        <v>14</v>
      </c>
    </row>
    <row r="142" spans="1:242" x14ac:dyDescent="0.25">
      <c r="A142">
        <v>16050</v>
      </c>
      <c r="B142">
        <v>9</v>
      </c>
      <c r="C142">
        <v>7</v>
      </c>
      <c r="D142" t="s">
        <v>224</v>
      </c>
      <c r="E142" t="s">
        <v>220</v>
      </c>
      <c r="F142">
        <v>5</v>
      </c>
      <c r="G142">
        <v>34.047416669999997</v>
      </c>
      <c r="H142">
        <v>12.01933333</v>
      </c>
      <c r="I142">
        <v>19.8190873</v>
      </c>
      <c r="J142">
        <v>90.908333330000005</v>
      </c>
      <c r="K142">
        <v>9.5666666669999998</v>
      </c>
      <c r="L142">
        <v>50.644692460000002</v>
      </c>
      <c r="M142">
        <v>13.98369795</v>
      </c>
      <c r="N142">
        <v>1.56</v>
      </c>
      <c r="O142">
        <v>-1.1100000000000001</v>
      </c>
      <c r="P142" t="s">
        <v>217</v>
      </c>
      <c r="Q142" t="s">
        <v>217</v>
      </c>
      <c r="R142" t="s">
        <v>216</v>
      </c>
      <c r="S142" t="s">
        <v>217</v>
      </c>
      <c r="T142" t="s">
        <v>217</v>
      </c>
      <c r="U142" t="s">
        <v>216</v>
      </c>
      <c r="V142">
        <f t="shared" si="8"/>
        <v>2</v>
      </c>
      <c r="W142">
        <f t="shared" si="9"/>
        <v>4</v>
      </c>
      <c r="X142">
        <f t="shared" si="10"/>
        <v>0.2857142857142857</v>
      </c>
      <c r="Y142">
        <f t="shared" si="11"/>
        <v>0.5714285714285714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2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2</v>
      </c>
    </row>
    <row r="143" spans="1:242" x14ac:dyDescent="0.25">
      <c r="A143">
        <v>16054</v>
      </c>
      <c r="B143">
        <v>9</v>
      </c>
      <c r="C143">
        <v>7</v>
      </c>
      <c r="D143" t="s">
        <v>222</v>
      </c>
      <c r="E143" t="s">
        <v>223</v>
      </c>
      <c r="F143">
        <v>5</v>
      </c>
      <c r="G143">
        <v>28.130083330000001</v>
      </c>
      <c r="H143">
        <v>14.445083329999999</v>
      </c>
      <c r="I143">
        <v>20.16854897</v>
      </c>
      <c r="J143">
        <v>94.041666669999998</v>
      </c>
      <c r="K143">
        <v>31.083333329999999</v>
      </c>
      <c r="L143">
        <v>71.454173749999995</v>
      </c>
      <c r="M143">
        <v>14.411714310000001</v>
      </c>
      <c r="N143">
        <v>0.16900000000000001</v>
      </c>
      <c r="O143">
        <v>1.42</v>
      </c>
      <c r="P143" t="s">
        <v>217</v>
      </c>
      <c r="Q143" t="s">
        <v>217</v>
      </c>
      <c r="R143" t="s">
        <v>216</v>
      </c>
      <c r="S143" t="s">
        <v>217</v>
      </c>
      <c r="T143" t="s">
        <v>217</v>
      </c>
      <c r="U143" t="s">
        <v>216</v>
      </c>
      <c r="V143">
        <f t="shared" si="8"/>
        <v>3</v>
      </c>
      <c r="W143">
        <f t="shared" si="9"/>
        <v>7</v>
      </c>
      <c r="X143">
        <f t="shared" si="10"/>
        <v>0.42857142857142855</v>
      </c>
      <c r="Y143">
        <f t="shared" si="11"/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3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2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2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</row>
    <row r="144" spans="1:242" x14ac:dyDescent="0.25">
      <c r="A144">
        <v>16056</v>
      </c>
      <c r="B144">
        <v>11</v>
      </c>
      <c r="C144">
        <v>7</v>
      </c>
      <c r="D144" t="s">
        <v>221</v>
      </c>
      <c r="E144" t="s">
        <v>220</v>
      </c>
      <c r="F144">
        <v>8</v>
      </c>
      <c r="G144">
        <v>31.62046823</v>
      </c>
      <c r="H144">
        <v>11.816896849999999</v>
      </c>
      <c r="I144">
        <v>18.518998180000001</v>
      </c>
      <c r="J144">
        <v>86.776244550000001</v>
      </c>
      <c r="K144">
        <v>21.2340801</v>
      </c>
      <c r="L144">
        <v>58.124346379999999</v>
      </c>
      <c r="M144">
        <v>13.168428199999999</v>
      </c>
      <c r="N144">
        <v>1.03</v>
      </c>
      <c r="O144">
        <v>-0.64400000000000002</v>
      </c>
      <c r="P144" t="s">
        <v>217</v>
      </c>
      <c r="Q144" t="s">
        <v>216</v>
      </c>
      <c r="R144" t="s">
        <v>217</v>
      </c>
      <c r="S144" t="s">
        <v>217</v>
      </c>
      <c r="T144" t="s">
        <v>217</v>
      </c>
      <c r="U144" t="s">
        <v>217</v>
      </c>
      <c r="V144">
        <f t="shared" si="8"/>
        <v>49</v>
      </c>
      <c r="W144">
        <f t="shared" si="9"/>
        <v>444</v>
      </c>
      <c r="X144">
        <f t="shared" si="10"/>
        <v>7</v>
      </c>
      <c r="Y144">
        <f t="shared" si="11"/>
        <v>63.428571428571431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6</v>
      </c>
      <c r="AI144" s="1">
        <v>9</v>
      </c>
      <c r="AJ144" s="1">
        <v>0</v>
      </c>
      <c r="AK144" s="1">
        <v>4</v>
      </c>
      <c r="AL144" s="1">
        <v>0</v>
      </c>
      <c r="AM144" s="1">
        <v>27</v>
      </c>
      <c r="AN144" s="1">
        <v>1</v>
      </c>
      <c r="AO144" s="1">
        <v>0</v>
      </c>
      <c r="AP144" s="1">
        <v>10</v>
      </c>
      <c r="AQ144" s="1">
        <v>1</v>
      </c>
      <c r="AR144" s="1">
        <v>0</v>
      </c>
      <c r="AS144" s="1">
        <v>4</v>
      </c>
      <c r="AT144" s="1">
        <v>1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32</v>
      </c>
      <c r="BB144" s="1">
        <v>0</v>
      </c>
      <c r="BC144" s="1">
        <v>0</v>
      </c>
      <c r="BD144" s="1">
        <v>0</v>
      </c>
      <c r="BE144" s="1">
        <v>0</v>
      </c>
      <c r="BF144" s="1">
        <v>2</v>
      </c>
      <c r="BG144" s="1">
        <v>4</v>
      </c>
      <c r="BH144" s="1">
        <v>0</v>
      </c>
      <c r="BI144" s="1">
        <v>0</v>
      </c>
      <c r="BJ144" s="1">
        <v>0</v>
      </c>
      <c r="BK144" s="1">
        <v>0</v>
      </c>
      <c r="BL144" s="1">
        <v>24</v>
      </c>
      <c r="BM144" s="1">
        <v>0</v>
      </c>
      <c r="BN144" s="1">
        <v>0</v>
      </c>
      <c r="BO144" s="1">
        <v>0</v>
      </c>
      <c r="BP144" s="1">
        <v>1</v>
      </c>
      <c r="BQ144" s="1">
        <v>0</v>
      </c>
      <c r="BR144" s="1">
        <v>0</v>
      </c>
      <c r="BS144" s="1">
        <v>0</v>
      </c>
      <c r="BT144" s="1">
        <v>0</v>
      </c>
      <c r="BU144" s="1">
        <v>1</v>
      </c>
      <c r="BV144" s="1">
        <v>0</v>
      </c>
      <c r="BW144" s="1">
        <v>1</v>
      </c>
      <c r="BX144" s="1">
        <v>0</v>
      </c>
      <c r="BY144" s="1">
        <v>1</v>
      </c>
      <c r="BZ144" s="1">
        <v>27</v>
      </c>
      <c r="CA144" s="1">
        <v>11</v>
      </c>
      <c r="CB144" s="1">
        <v>1</v>
      </c>
      <c r="CC144" s="1">
        <v>0</v>
      </c>
      <c r="CD144" s="1">
        <v>29</v>
      </c>
      <c r="CE144" s="1">
        <v>0</v>
      </c>
      <c r="CF144" s="1">
        <v>0</v>
      </c>
      <c r="CG144" s="1">
        <v>0</v>
      </c>
      <c r="CH144" s="1">
        <v>0</v>
      </c>
      <c r="CI144" s="1">
        <v>35</v>
      </c>
      <c r="CJ144" s="1">
        <v>0</v>
      </c>
      <c r="CK144" s="1">
        <v>0</v>
      </c>
      <c r="CL144" s="1">
        <v>0</v>
      </c>
      <c r="CM144" s="1">
        <v>6</v>
      </c>
      <c r="CN144" s="1">
        <v>2</v>
      </c>
      <c r="CO144" s="1">
        <v>4</v>
      </c>
      <c r="CP144" s="1">
        <v>0</v>
      </c>
      <c r="CQ144" s="1">
        <v>0</v>
      </c>
      <c r="CR144" s="1">
        <v>0</v>
      </c>
      <c r="CS144" s="1">
        <v>0</v>
      </c>
      <c r="CT144" s="1">
        <v>10</v>
      </c>
      <c r="CU144" s="1">
        <v>0</v>
      </c>
      <c r="CV144" s="1">
        <v>112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6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2</v>
      </c>
      <c r="DP144" s="1">
        <v>2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1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1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2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3</v>
      </c>
      <c r="FI144" s="1">
        <v>1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22</v>
      </c>
      <c r="FZ144" s="1">
        <v>1</v>
      </c>
      <c r="GA144" s="1">
        <v>1</v>
      </c>
      <c r="GB144" s="1">
        <v>6</v>
      </c>
      <c r="GC144" s="1">
        <v>1</v>
      </c>
      <c r="GD144" s="1">
        <v>0</v>
      </c>
      <c r="GE144" s="1">
        <v>5</v>
      </c>
      <c r="GF144" s="1">
        <v>3</v>
      </c>
      <c r="GG144" s="1">
        <v>1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1</v>
      </c>
      <c r="GS144">
        <v>0</v>
      </c>
      <c r="GT144">
        <v>1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2</v>
      </c>
      <c r="IE144">
        <v>0</v>
      </c>
      <c r="IF144">
        <v>1</v>
      </c>
      <c r="IG144">
        <v>0</v>
      </c>
      <c r="IH144">
        <v>14</v>
      </c>
    </row>
    <row r="145" spans="1:242" x14ac:dyDescent="0.25">
      <c r="A145">
        <v>16060</v>
      </c>
      <c r="B145">
        <v>11</v>
      </c>
      <c r="C145">
        <v>10</v>
      </c>
      <c r="D145" t="s">
        <v>224</v>
      </c>
      <c r="E145" t="s">
        <v>220</v>
      </c>
      <c r="F145">
        <v>8</v>
      </c>
      <c r="G145">
        <v>35.543999999999997</v>
      </c>
      <c r="H145">
        <v>12.94166667</v>
      </c>
      <c r="I145">
        <v>20.860925099999999</v>
      </c>
      <c r="J145">
        <v>82.841666669999995</v>
      </c>
      <c r="K145">
        <v>6.733333333</v>
      </c>
      <c r="L145">
        <v>45.004166669999996</v>
      </c>
      <c r="M145">
        <v>13.9815205</v>
      </c>
      <c r="N145">
        <v>2.94</v>
      </c>
      <c r="O145">
        <v>-1.73</v>
      </c>
      <c r="P145" t="s">
        <v>217</v>
      </c>
      <c r="Q145" t="s">
        <v>216</v>
      </c>
      <c r="R145" t="s">
        <v>217</v>
      </c>
      <c r="S145" t="s">
        <v>217</v>
      </c>
      <c r="T145" t="s">
        <v>217</v>
      </c>
      <c r="U145" t="s">
        <v>217</v>
      </c>
      <c r="V145">
        <f t="shared" si="8"/>
        <v>25</v>
      </c>
      <c r="W145">
        <f t="shared" si="9"/>
        <v>140</v>
      </c>
      <c r="X145">
        <f t="shared" si="10"/>
        <v>2.5</v>
      </c>
      <c r="Y145">
        <f t="shared" si="11"/>
        <v>14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1</v>
      </c>
      <c r="AL145" s="1">
        <v>0</v>
      </c>
      <c r="AM145" s="1">
        <v>14</v>
      </c>
      <c r="AN145" s="1">
        <v>0</v>
      </c>
      <c r="AO145" s="1">
        <v>0</v>
      </c>
      <c r="AP145" s="1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9</v>
      </c>
      <c r="BM145" s="1">
        <v>3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9</v>
      </c>
      <c r="CA145" s="1">
        <v>2</v>
      </c>
      <c r="CB145" s="1">
        <v>0</v>
      </c>
      <c r="CC145" s="1">
        <v>0</v>
      </c>
      <c r="CD145" s="1">
        <v>4</v>
      </c>
      <c r="CE145" s="1">
        <v>0</v>
      </c>
      <c r="CF145" s="1">
        <v>0</v>
      </c>
      <c r="CG145" s="1">
        <v>0</v>
      </c>
      <c r="CH145" s="1">
        <v>0</v>
      </c>
      <c r="CI145" s="1">
        <v>14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6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52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2</v>
      </c>
      <c r="DC145" s="1">
        <v>1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4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3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1</v>
      </c>
      <c r="EV145" s="1">
        <v>0</v>
      </c>
      <c r="EW145" s="1">
        <v>0</v>
      </c>
      <c r="EX145" s="1">
        <v>0</v>
      </c>
      <c r="EY145" s="1">
        <v>0</v>
      </c>
      <c r="EZ145" s="1">
        <v>1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1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1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1</v>
      </c>
      <c r="FZ145" s="1">
        <v>0</v>
      </c>
      <c r="GA145" s="1">
        <v>0</v>
      </c>
      <c r="GB145" s="1">
        <v>1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1</v>
      </c>
      <c r="GP145" s="1">
        <v>0</v>
      </c>
      <c r="GQ145" s="1">
        <v>0</v>
      </c>
      <c r="GR145" s="1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6</v>
      </c>
    </row>
    <row r="146" spans="1:242" x14ac:dyDescent="0.25">
      <c r="A146">
        <v>16063</v>
      </c>
      <c r="B146">
        <v>27</v>
      </c>
      <c r="C146">
        <v>7</v>
      </c>
      <c r="D146" t="s">
        <v>224</v>
      </c>
      <c r="E146" t="s">
        <v>220</v>
      </c>
      <c r="F146">
        <v>3</v>
      </c>
      <c r="G146">
        <v>33.814083330000003</v>
      </c>
      <c r="H146">
        <v>11.422750000000001</v>
      </c>
      <c r="I146">
        <v>19.528533230000001</v>
      </c>
      <c r="J146">
        <v>84.724999999999994</v>
      </c>
      <c r="K146">
        <v>11.1</v>
      </c>
      <c r="L146">
        <v>48.44761905</v>
      </c>
      <c r="M146">
        <v>13.98432204</v>
      </c>
      <c r="N146">
        <v>2.1</v>
      </c>
      <c r="O146">
        <v>-1.49</v>
      </c>
      <c r="P146" t="s">
        <v>217</v>
      </c>
      <c r="Q146" t="s">
        <v>217</v>
      </c>
      <c r="R146" t="s">
        <v>217</v>
      </c>
      <c r="S146" t="s">
        <v>217</v>
      </c>
      <c r="T146" t="s">
        <v>217</v>
      </c>
      <c r="U146" t="s">
        <v>216</v>
      </c>
      <c r="V146">
        <f t="shared" si="8"/>
        <v>24</v>
      </c>
      <c r="W146">
        <f t="shared" si="9"/>
        <v>206</v>
      </c>
      <c r="X146">
        <f t="shared" si="10"/>
        <v>3.4285714285714284</v>
      </c>
      <c r="Y146">
        <f t="shared" si="11"/>
        <v>29.428571428571427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3</v>
      </c>
      <c r="AK146" s="1">
        <v>0</v>
      </c>
      <c r="AL146" s="1">
        <v>0</v>
      </c>
      <c r="AM146" s="1">
        <v>48</v>
      </c>
      <c r="AN146" s="1">
        <v>4</v>
      </c>
      <c r="AO146" s="1">
        <v>0</v>
      </c>
      <c r="AP146" s="1">
        <v>0</v>
      </c>
      <c r="AQ146" s="1">
        <v>1</v>
      </c>
      <c r="AR146" s="1">
        <v>5</v>
      </c>
      <c r="AS146" s="1">
        <v>2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14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10</v>
      </c>
      <c r="BM146" s="1">
        <v>7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5</v>
      </c>
      <c r="BZ146" s="1">
        <v>4</v>
      </c>
      <c r="CA146" s="1">
        <v>3</v>
      </c>
      <c r="CB146" s="1">
        <v>0</v>
      </c>
      <c r="CC146" s="1">
        <v>0</v>
      </c>
      <c r="CD146" s="1">
        <v>31</v>
      </c>
      <c r="CE146" s="1">
        <v>0</v>
      </c>
      <c r="CF146" s="1">
        <v>1</v>
      </c>
      <c r="CG146" s="1">
        <v>0</v>
      </c>
      <c r="CH146" s="1">
        <v>1</v>
      </c>
      <c r="CI146" s="1">
        <v>19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1</v>
      </c>
      <c r="CS146" s="1">
        <v>0</v>
      </c>
      <c r="CT146" s="1">
        <v>0</v>
      </c>
      <c r="CU146" s="1">
        <v>0</v>
      </c>
      <c r="CV146" s="1">
        <v>41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1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1</v>
      </c>
      <c r="DQ146" s="1">
        <v>0</v>
      </c>
      <c r="DR146" s="1">
        <v>0</v>
      </c>
      <c r="DS146" s="1">
        <v>1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1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</row>
    <row r="147" spans="1:242" x14ac:dyDescent="0.25">
      <c r="A147">
        <v>16067</v>
      </c>
      <c r="B147">
        <v>27</v>
      </c>
      <c r="C147">
        <v>7</v>
      </c>
      <c r="D147" t="s">
        <v>222</v>
      </c>
      <c r="E147" t="s">
        <v>223</v>
      </c>
      <c r="F147">
        <v>3</v>
      </c>
      <c r="G147">
        <v>28.14916667</v>
      </c>
      <c r="H147">
        <v>14.118</v>
      </c>
      <c r="I147">
        <v>19.346468519999998</v>
      </c>
      <c r="J147">
        <v>94.166666669999998</v>
      </c>
      <c r="K147">
        <v>31.68333333</v>
      </c>
      <c r="L147">
        <v>72.726749639999994</v>
      </c>
      <c r="M147">
        <v>14.412487649999999</v>
      </c>
      <c r="N147" s="8">
        <v>-2.06E-2</v>
      </c>
      <c r="O147">
        <v>1.42</v>
      </c>
      <c r="P147" t="s">
        <v>217</v>
      </c>
      <c r="Q147" t="s">
        <v>217</v>
      </c>
      <c r="R147" t="s">
        <v>217</v>
      </c>
      <c r="S147" t="s">
        <v>217</v>
      </c>
      <c r="T147" t="s">
        <v>217</v>
      </c>
      <c r="U147" t="s">
        <v>216</v>
      </c>
      <c r="V147">
        <f t="shared" si="8"/>
        <v>16</v>
      </c>
      <c r="W147">
        <f t="shared" si="9"/>
        <v>80</v>
      </c>
      <c r="X147">
        <f t="shared" si="10"/>
        <v>2.2857142857142856</v>
      </c>
      <c r="Y147">
        <f t="shared" si="11"/>
        <v>11.428571428571429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3</v>
      </c>
      <c r="AK147" s="1">
        <v>0</v>
      </c>
      <c r="AL147" s="1">
        <v>0</v>
      </c>
      <c r="AM147" s="1">
        <v>15</v>
      </c>
      <c r="AN147" s="1">
        <v>0</v>
      </c>
      <c r="AO147" s="1">
        <v>0</v>
      </c>
      <c r="AP147" s="1">
        <v>0</v>
      </c>
      <c r="AQ147" s="1">
        <v>1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1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2</v>
      </c>
      <c r="BZ147" s="1">
        <v>0</v>
      </c>
      <c r="CA147" s="1">
        <v>1</v>
      </c>
      <c r="CB147" s="1">
        <v>0</v>
      </c>
      <c r="CC147" s="1">
        <v>0</v>
      </c>
      <c r="CD147" s="1">
        <v>11</v>
      </c>
      <c r="CE147" s="1">
        <v>0</v>
      </c>
      <c r="CF147" s="1">
        <v>0</v>
      </c>
      <c r="CG147" s="1">
        <v>0</v>
      </c>
      <c r="CH147" s="1">
        <v>0</v>
      </c>
      <c r="CI147" s="1">
        <v>1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1</v>
      </c>
      <c r="CP147" s="1">
        <v>0</v>
      </c>
      <c r="CQ147" s="1">
        <v>0</v>
      </c>
      <c r="CR147" s="1">
        <v>1</v>
      </c>
      <c r="CS147" s="1">
        <v>0</v>
      </c>
      <c r="CT147" s="1">
        <v>0</v>
      </c>
      <c r="CU147" s="1">
        <v>0</v>
      </c>
      <c r="CV147" s="1">
        <v>36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2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</v>
      </c>
      <c r="IG147">
        <v>0</v>
      </c>
      <c r="IH147">
        <v>0</v>
      </c>
    </row>
    <row r="148" spans="1:242" x14ac:dyDescent="0.25">
      <c r="A148">
        <v>16068</v>
      </c>
      <c r="B148">
        <v>3</v>
      </c>
      <c r="C148">
        <v>7</v>
      </c>
      <c r="D148" t="s">
        <v>224</v>
      </c>
      <c r="E148" t="s">
        <v>220</v>
      </c>
      <c r="F148">
        <v>9</v>
      </c>
      <c r="G148">
        <v>35.657499999999999</v>
      </c>
      <c r="H148">
        <v>12.87141667</v>
      </c>
      <c r="I148">
        <v>20.27622173</v>
      </c>
      <c r="J148">
        <v>86.616666670000001</v>
      </c>
      <c r="K148">
        <v>10.074999999999999</v>
      </c>
      <c r="L148">
        <v>49.837946430000002</v>
      </c>
      <c r="M148">
        <v>13.9787283</v>
      </c>
      <c r="N148">
        <v>2.31</v>
      </c>
      <c r="O148">
        <v>-1.23</v>
      </c>
      <c r="P148" t="s">
        <v>216</v>
      </c>
      <c r="Q148" t="s">
        <v>217</v>
      </c>
      <c r="R148" t="s">
        <v>217</v>
      </c>
      <c r="S148" t="s">
        <v>217</v>
      </c>
      <c r="T148" t="s">
        <v>217</v>
      </c>
      <c r="U148" t="s">
        <v>216</v>
      </c>
      <c r="V148">
        <f t="shared" si="8"/>
        <v>38</v>
      </c>
      <c r="W148">
        <f t="shared" si="9"/>
        <v>346</v>
      </c>
      <c r="X148">
        <f t="shared" si="10"/>
        <v>5.4285714285714288</v>
      </c>
      <c r="Y148">
        <f t="shared" si="11"/>
        <v>49.428571428571431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10</v>
      </c>
      <c r="AG148" s="1">
        <v>0</v>
      </c>
      <c r="AH148" s="1">
        <v>1</v>
      </c>
      <c r="AI148" s="1">
        <v>1</v>
      </c>
      <c r="AJ148" s="1">
        <v>0</v>
      </c>
      <c r="AK148" s="1">
        <v>3</v>
      </c>
      <c r="AL148" s="1">
        <v>0</v>
      </c>
      <c r="AM148" s="1">
        <v>66</v>
      </c>
      <c r="AN148" s="1">
        <v>0</v>
      </c>
      <c r="AO148" s="1">
        <v>0</v>
      </c>
      <c r="AP148" s="1">
        <v>17</v>
      </c>
      <c r="AQ148" s="1">
        <v>0</v>
      </c>
      <c r="AR148" s="1">
        <v>6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4</v>
      </c>
      <c r="BG148" s="1">
        <v>3</v>
      </c>
      <c r="BH148" s="1">
        <v>0</v>
      </c>
      <c r="BI148" s="1">
        <v>0</v>
      </c>
      <c r="BJ148" s="1">
        <v>0</v>
      </c>
      <c r="BK148" s="1">
        <v>0</v>
      </c>
      <c r="BL148" s="1">
        <v>15</v>
      </c>
      <c r="BM148" s="1">
        <v>1</v>
      </c>
      <c r="BN148" s="1">
        <v>0</v>
      </c>
      <c r="BO148" s="1">
        <v>0</v>
      </c>
      <c r="BP148" s="1">
        <v>1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26</v>
      </c>
      <c r="CA148" s="1">
        <v>4</v>
      </c>
      <c r="CB148" s="1">
        <v>0</v>
      </c>
      <c r="CC148" s="1">
        <v>0</v>
      </c>
      <c r="CD148" s="1">
        <v>23</v>
      </c>
      <c r="CE148" s="1">
        <v>0</v>
      </c>
      <c r="CF148" s="1">
        <v>0</v>
      </c>
      <c r="CG148" s="1">
        <v>0</v>
      </c>
      <c r="CH148" s="1">
        <v>0</v>
      </c>
      <c r="CI148" s="1">
        <v>33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2</v>
      </c>
      <c r="CP148" s="1">
        <v>0</v>
      </c>
      <c r="CQ148" s="1">
        <v>0</v>
      </c>
      <c r="CR148" s="1">
        <v>2</v>
      </c>
      <c r="CS148" s="1">
        <v>0</v>
      </c>
      <c r="CT148" s="1">
        <v>0</v>
      </c>
      <c r="CU148" s="1">
        <v>0</v>
      </c>
      <c r="CV148" s="1">
        <v>52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18</v>
      </c>
      <c r="DC148" s="1">
        <v>2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1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2</v>
      </c>
      <c r="EA148" s="1">
        <v>0</v>
      </c>
      <c r="EB148" s="1">
        <v>2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1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5</v>
      </c>
      <c r="ES148" s="1">
        <v>0</v>
      </c>
      <c r="ET148" s="1">
        <v>2</v>
      </c>
      <c r="EU148" s="1">
        <v>2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5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1</v>
      </c>
      <c r="GF148" s="1">
        <v>2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1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19</v>
      </c>
      <c r="HQ148">
        <v>0</v>
      </c>
      <c r="HR148">
        <v>0</v>
      </c>
      <c r="HS148">
        <v>5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3</v>
      </c>
      <c r="IG148">
        <v>0</v>
      </c>
      <c r="IH148">
        <v>3</v>
      </c>
    </row>
    <row r="149" spans="1:242" x14ac:dyDescent="0.25">
      <c r="A149">
        <v>16072</v>
      </c>
      <c r="B149">
        <v>3</v>
      </c>
      <c r="C149">
        <v>7</v>
      </c>
      <c r="D149" t="s">
        <v>222</v>
      </c>
      <c r="E149" t="s">
        <v>223</v>
      </c>
      <c r="F149">
        <v>9</v>
      </c>
      <c r="G149">
        <v>28.093583330000001</v>
      </c>
      <c r="H149">
        <v>14.018000000000001</v>
      </c>
      <c r="I149">
        <v>19.948023809999999</v>
      </c>
      <c r="J149">
        <v>94.866666670000001</v>
      </c>
      <c r="K149">
        <v>38.916666669999998</v>
      </c>
      <c r="L149">
        <v>74.159623019999998</v>
      </c>
      <c r="M149">
        <v>14.405556539999999</v>
      </c>
      <c r="N149">
        <v>-0.17</v>
      </c>
      <c r="O149">
        <v>1.9</v>
      </c>
      <c r="P149" t="s">
        <v>216</v>
      </c>
      <c r="Q149" t="s">
        <v>217</v>
      </c>
      <c r="R149" t="s">
        <v>217</v>
      </c>
      <c r="S149" t="s">
        <v>217</v>
      </c>
      <c r="T149" t="s">
        <v>217</v>
      </c>
      <c r="U149" t="s">
        <v>216</v>
      </c>
      <c r="V149">
        <f t="shared" si="8"/>
        <v>22</v>
      </c>
      <c r="W149">
        <f t="shared" si="9"/>
        <v>104</v>
      </c>
      <c r="X149">
        <f t="shared" si="10"/>
        <v>3.1428571428571428</v>
      </c>
      <c r="Y149">
        <f t="shared" si="11"/>
        <v>14.857142857142858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2</v>
      </c>
      <c r="AG149" s="1">
        <v>0</v>
      </c>
      <c r="AH149" s="1">
        <v>0</v>
      </c>
      <c r="AI149" s="1">
        <v>0</v>
      </c>
      <c r="AJ149" s="1">
        <v>0</v>
      </c>
      <c r="AK149" s="1">
        <v>1</v>
      </c>
      <c r="AL149" s="1">
        <v>0</v>
      </c>
      <c r="AM149" s="1">
        <v>19</v>
      </c>
      <c r="AN149" s="1">
        <v>0</v>
      </c>
      <c r="AO149" s="1">
        <v>0</v>
      </c>
      <c r="AP149" s="1">
        <v>0</v>
      </c>
      <c r="AQ149" s="1">
        <v>0</v>
      </c>
      <c r="AR149" s="1">
        <v>1</v>
      </c>
      <c r="AS149" s="1">
        <v>1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1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2</v>
      </c>
      <c r="BV149" s="1">
        <v>0</v>
      </c>
      <c r="BW149" s="1">
        <v>0</v>
      </c>
      <c r="BX149" s="1">
        <v>0</v>
      </c>
      <c r="BY149" s="1">
        <v>0</v>
      </c>
      <c r="BZ149" s="1">
        <v>13</v>
      </c>
      <c r="CA149" s="1">
        <v>1</v>
      </c>
      <c r="CB149" s="1">
        <v>0</v>
      </c>
      <c r="CC149" s="1">
        <v>0</v>
      </c>
      <c r="CD149" s="1">
        <v>3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1</v>
      </c>
      <c r="CS149" s="1">
        <v>0</v>
      </c>
      <c r="CT149" s="1">
        <v>0</v>
      </c>
      <c r="CU149" s="1">
        <v>0</v>
      </c>
      <c r="CV149" s="1">
        <v>28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17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1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1</v>
      </c>
      <c r="EA149" s="1">
        <v>0</v>
      </c>
      <c r="EB149" s="1">
        <v>1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4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2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1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2</v>
      </c>
      <c r="IG149">
        <v>0</v>
      </c>
      <c r="IH149">
        <v>1</v>
      </c>
    </row>
    <row r="150" spans="1:242" x14ac:dyDescent="0.25">
      <c r="A150">
        <v>16075</v>
      </c>
      <c r="B150">
        <v>15</v>
      </c>
      <c r="C150">
        <v>7</v>
      </c>
      <c r="D150" t="s">
        <v>224</v>
      </c>
      <c r="E150" t="s">
        <v>220</v>
      </c>
      <c r="F150">
        <v>9</v>
      </c>
      <c r="G150">
        <v>36.363583329999997</v>
      </c>
      <c r="H150">
        <v>11.89425</v>
      </c>
      <c r="I150">
        <v>19.801841270000001</v>
      </c>
      <c r="J150">
        <v>90.666666669999998</v>
      </c>
      <c r="K150">
        <v>11.983333330000001</v>
      </c>
      <c r="L150">
        <v>57.52728175</v>
      </c>
      <c r="M150">
        <v>13.96731823</v>
      </c>
      <c r="N150">
        <v>1.59</v>
      </c>
      <c r="O150">
        <v>-0.76600000000000001</v>
      </c>
      <c r="P150" t="s">
        <v>216</v>
      </c>
      <c r="Q150" t="s">
        <v>217</v>
      </c>
      <c r="R150" t="s">
        <v>217</v>
      </c>
      <c r="S150" t="s">
        <v>217</v>
      </c>
      <c r="T150" t="s">
        <v>217</v>
      </c>
      <c r="U150" t="s">
        <v>216</v>
      </c>
      <c r="V150">
        <f t="shared" si="8"/>
        <v>26</v>
      </c>
      <c r="W150">
        <f t="shared" si="9"/>
        <v>255</v>
      </c>
      <c r="X150">
        <f t="shared" si="10"/>
        <v>3.7142857142857144</v>
      </c>
      <c r="Y150">
        <f t="shared" si="11"/>
        <v>36.428571428571431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6</v>
      </c>
      <c r="AI150" s="1">
        <v>0</v>
      </c>
      <c r="AJ150" s="1">
        <v>0</v>
      </c>
      <c r="AK150" s="1">
        <v>0</v>
      </c>
      <c r="AL150" s="1">
        <v>0</v>
      </c>
      <c r="AM150" s="1">
        <v>63</v>
      </c>
      <c r="AN150" s="1">
        <v>1</v>
      </c>
      <c r="AO150" s="1">
        <v>0</v>
      </c>
      <c r="AP150" s="1">
        <v>11</v>
      </c>
      <c r="AQ150" s="1">
        <v>1</v>
      </c>
      <c r="AR150" s="1">
        <v>0</v>
      </c>
      <c r="AS150" s="1">
        <v>3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1</v>
      </c>
      <c r="BH150" s="1">
        <v>0</v>
      </c>
      <c r="BI150" s="1">
        <v>0</v>
      </c>
      <c r="BJ150" s="1">
        <v>0</v>
      </c>
      <c r="BK150" s="1">
        <v>0</v>
      </c>
      <c r="BL150" s="1">
        <v>1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57</v>
      </c>
      <c r="CA150" s="1">
        <v>4</v>
      </c>
      <c r="CB150" s="1">
        <v>1</v>
      </c>
      <c r="CC150" s="1">
        <v>0</v>
      </c>
      <c r="CD150" s="1">
        <v>36</v>
      </c>
      <c r="CE150" s="1">
        <v>0</v>
      </c>
      <c r="CF150" s="1">
        <v>0</v>
      </c>
      <c r="CG150" s="1">
        <v>0</v>
      </c>
      <c r="CH150" s="1">
        <v>0</v>
      </c>
      <c r="CI150" s="1">
        <v>2</v>
      </c>
      <c r="CJ150" s="1">
        <v>1</v>
      </c>
      <c r="CK150" s="1">
        <v>0</v>
      </c>
      <c r="CL150" s="1">
        <v>0</v>
      </c>
      <c r="CM150" s="1">
        <v>0</v>
      </c>
      <c r="CN150" s="1">
        <v>2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1</v>
      </c>
      <c r="CU150" s="1">
        <v>0</v>
      </c>
      <c r="CV150" s="1">
        <v>22</v>
      </c>
      <c r="CW150" s="1">
        <v>13</v>
      </c>
      <c r="CX150" s="1">
        <v>0</v>
      </c>
      <c r="CY150" s="1">
        <v>0</v>
      </c>
      <c r="CZ150" s="1">
        <v>0</v>
      </c>
      <c r="DA150" s="1">
        <v>0</v>
      </c>
      <c r="DB150" s="1">
        <v>12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4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1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6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1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3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1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</row>
    <row r="151" spans="1:242" x14ac:dyDescent="0.25">
      <c r="A151">
        <v>16079</v>
      </c>
      <c r="B151">
        <v>15</v>
      </c>
      <c r="C151">
        <v>7</v>
      </c>
      <c r="D151" t="s">
        <v>222</v>
      </c>
      <c r="E151" t="s">
        <v>223</v>
      </c>
      <c r="F151">
        <v>9</v>
      </c>
      <c r="G151">
        <v>26.170333329999998</v>
      </c>
      <c r="H151">
        <v>13.54366667</v>
      </c>
      <c r="I151">
        <v>19.714961809999998</v>
      </c>
      <c r="J151">
        <v>93.591666669999995</v>
      </c>
      <c r="K151">
        <v>53.2</v>
      </c>
      <c r="L151">
        <v>75.368204370000001</v>
      </c>
      <c r="M151">
        <v>14.39142053</v>
      </c>
      <c r="N151">
        <v>-0.54700000000000004</v>
      </c>
      <c r="O151">
        <v>2.54</v>
      </c>
      <c r="P151" t="s">
        <v>216</v>
      </c>
      <c r="Q151" t="s">
        <v>217</v>
      </c>
      <c r="R151" t="s">
        <v>217</v>
      </c>
      <c r="S151" t="s">
        <v>217</v>
      </c>
      <c r="T151" t="s">
        <v>217</v>
      </c>
      <c r="U151" t="s">
        <v>216</v>
      </c>
      <c r="V151">
        <f t="shared" si="8"/>
        <v>11</v>
      </c>
      <c r="W151">
        <f t="shared" si="9"/>
        <v>117</v>
      </c>
      <c r="X151">
        <f t="shared" si="10"/>
        <v>1.5714285714285714</v>
      </c>
      <c r="Y151">
        <f t="shared" si="11"/>
        <v>16.714285714285715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47</v>
      </c>
      <c r="AN151" s="1">
        <v>0</v>
      </c>
      <c r="AO151" s="1">
        <v>0</v>
      </c>
      <c r="AP151" s="1">
        <v>2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6</v>
      </c>
      <c r="CA151" s="1">
        <v>0</v>
      </c>
      <c r="CB151" s="1">
        <v>0</v>
      </c>
      <c r="CC151" s="1">
        <v>0</v>
      </c>
      <c r="CD151" s="1">
        <v>4</v>
      </c>
      <c r="CE151" s="1">
        <v>0</v>
      </c>
      <c r="CF151" s="1">
        <v>0</v>
      </c>
      <c r="CG151" s="1">
        <v>0</v>
      </c>
      <c r="CH151" s="1">
        <v>0</v>
      </c>
      <c r="CI151" s="1">
        <v>1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37</v>
      </c>
      <c r="CW151" s="1">
        <v>1</v>
      </c>
      <c r="CX151" s="1">
        <v>0</v>
      </c>
      <c r="CY151" s="1">
        <v>0</v>
      </c>
      <c r="CZ151" s="1">
        <v>0</v>
      </c>
      <c r="DA151" s="1">
        <v>0</v>
      </c>
      <c r="DB151" s="1">
        <v>7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10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1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</row>
    <row r="152" spans="1:242" x14ac:dyDescent="0.25">
      <c r="A152">
        <v>16082</v>
      </c>
      <c r="B152">
        <v>25</v>
      </c>
      <c r="C152">
        <v>7</v>
      </c>
      <c r="D152" t="s">
        <v>224</v>
      </c>
      <c r="E152" t="s">
        <v>220</v>
      </c>
      <c r="F152">
        <v>8</v>
      </c>
      <c r="G152">
        <v>33.916416669999997</v>
      </c>
      <c r="H152">
        <v>13.1785</v>
      </c>
      <c r="I152">
        <v>20.369909230000001</v>
      </c>
      <c r="J152">
        <v>83.5</v>
      </c>
      <c r="K152">
        <v>13.31666667</v>
      </c>
      <c r="L152">
        <v>49.641716270000003</v>
      </c>
      <c r="M152">
        <v>13.97960945</v>
      </c>
      <c r="N152">
        <v>2.4500000000000002</v>
      </c>
      <c r="O152">
        <v>-1.1599999999999999</v>
      </c>
      <c r="P152" t="s">
        <v>217</v>
      </c>
      <c r="Q152" t="s">
        <v>216</v>
      </c>
      <c r="R152" t="s">
        <v>216</v>
      </c>
      <c r="S152" t="s">
        <v>217</v>
      </c>
      <c r="T152" t="s">
        <v>217</v>
      </c>
      <c r="U152" t="s">
        <v>216</v>
      </c>
      <c r="V152">
        <f t="shared" si="8"/>
        <v>32</v>
      </c>
      <c r="W152">
        <f t="shared" si="9"/>
        <v>429</v>
      </c>
      <c r="X152">
        <f t="shared" si="10"/>
        <v>4.5714285714285712</v>
      </c>
      <c r="Y152">
        <f t="shared" si="11"/>
        <v>61.285714285714285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38</v>
      </c>
      <c r="AG152" s="1">
        <v>0</v>
      </c>
      <c r="AH152" s="1">
        <v>2</v>
      </c>
      <c r="AI152" s="1">
        <v>2</v>
      </c>
      <c r="AJ152" s="1">
        <v>0</v>
      </c>
      <c r="AK152" s="1">
        <v>1</v>
      </c>
      <c r="AL152" s="1">
        <v>0</v>
      </c>
      <c r="AM152" s="1">
        <v>82</v>
      </c>
      <c r="AN152" s="1">
        <v>0</v>
      </c>
      <c r="AO152" s="1">
        <v>0</v>
      </c>
      <c r="AP152" s="1">
        <v>4</v>
      </c>
      <c r="AQ152" s="1">
        <v>0</v>
      </c>
      <c r="AR152" s="1">
        <v>1</v>
      </c>
      <c r="AS152" s="1">
        <v>5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5</v>
      </c>
      <c r="BB152" s="1">
        <v>0</v>
      </c>
      <c r="BC152" s="1">
        <v>0</v>
      </c>
      <c r="BD152" s="1">
        <v>0</v>
      </c>
      <c r="BE152" s="1">
        <v>1</v>
      </c>
      <c r="BF152" s="1">
        <v>1</v>
      </c>
      <c r="BG152" s="1">
        <v>11</v>
      </c>
      <c r="BH152" s="1">
        <v>0</v>
      </c>
      <c r="BI152" s="1">
        <v>0</v>
      </c>
      <c r="BJ152" s="1">
        <v>0</v>
      </c>
      <c r="BK152" s="1">
        <v>0</v>
      </c>
      <c r="BL152" s="1">
        <v>88</v>
      </c>
      <c r="BM152" s="1">
        <v>2</v>
      </c>
      <c r="BN152" s="1">
        <v>0</v>
      </c>
      <c r="BO152" s="1">
        <v>0</v>
      </c>
      <c r="BP152" s="1">
        <v>1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1</v>
      </c>
      <c r="BY152" s="1">
        <v>1</v>
      </c>
      <c r="BZ152" s="1">
        <v>26</v>
      </c>
      <c r="CA152" s="1">
        <v>10</v>
      </c>
      <c r="CB152" s="1">
        <v>0</v>
      </c>
      <c r="CC152" s="1">
        <v>0</v>
      </c>
      <c r="CD152" s="1">
        <v>66</v>
      </c>
      <c r="CE152" s="1">
        <v>0</v>
      </c>
      <c r="CF152" s="1">
        <v>0</v>
      </c>
      <c r="CG152" s="1">
        <v>0</v>
      </c>
      <c r="CH152" s="1">
        <v>0</v>
      </c>
      <c r="CI152" s="1">
        <v>28</v>
      </c>
      <c r="CJ152" s="1">
        <v>0</v>
      </c>
      <c r="CK152" s="1">
        <v>0</v>
      </c>
      <c r="CL152" s="1">
        <v>0</v>
      </c>
      <c r="CM152" s="1">
        <v>2</v>
      </c>
      <c r="CN152" s="1">
        <v>0</v>
      </c>
      <c r="CO152" s="1">
        <v>0</v>
      </c>
      <c r="CP152" s="1">
        <v>0</v>
      </c>
      <c r="CQ152" s="1">
        <v>0</v>
      </c>
      <c r="CR152" s="1">
        <v>3</v>
      </c>
      <c r="CS152" s="1">
        <v>0</v>
      </c>
      <c r="CT152" s="1">
        <v>1</v>
      </c>
      <c r="CU152" s="1">
        <v>0</v>
      </c>
      <c r="CV152" s="1">
        <v>29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5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5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1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1</v>
      </c>
      <c r="GB152" s="1">
        <v>1</v>
      </c>
      <c r="GC152" s="1">
        <v>0</v>
      </c>
      <c r="GD152" s="1">
        <v>0</v>
      </c>
      <c r="GE152" s="1">
        <v>1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4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</row>
    <row r="153" spans="1:242" x14ac:dyDescent="0.25">
      <c r="A153">
        <v>16086</v>
      </c>
      <c r="B153">
        <v>25</v>
      </c>
      <c r="C153">
        <v>14</v>
      </c>
      <c r="D153" t="s">
        <v>222</v>
      </c>
      <c r="E153" t="s">
        <v>223</v>
      </c>
      <c r="F153">
        <v>8</v>
      </c>
      <c r="G153">
        <v>24.6175</v>
      </c>
      <c r="H153">
        <v>15.324083330000001</v>
      </c>
      <c r="I153">
        <v>19.988561010000002</v>
      </c>
      <c r="J153">
        <v>85.466666669999995</v>
      </c>
      <c r="K153">
        <v>52.116666670000001</v>
      </c>
      <c r="L153">
        <v>70.65892857</v>
      </c>
      <c r="M153">
        <v>14.42581345</v>
      </c>
      <c r="N153">
        <v>0.46899999999999997</v>
      </c>
      <c r="O153">
        <v>2.14</v>
      </c>
      <c r="P153" t="s">
        <v>217</v>
      </c>
      <c r="Q153" t="s">
        <v>216</v>
      </c>
      <c r="R153" t="s">
        <v>216</v>
      </c>
      <c r="S153" t="s">
        <v>217</v>
      </c>
      <c r="T153" t="s">
        <v>217</v>
      </c>
      <c r="U153" t="s">
        <v>216</v>
      </c>
      <c r="V153">
        <f t="shared" si="8"/>
        <v>29</v>
      </c>
      <c r="W153">
        <f t="shared" si="9"/>
        <v>310</v>
      </c>
      <c r="X153">
        <f t="shared" si="10"/>
        <v>2.0714285714285716</v>
      </c>
      <c r="Y153">
        <f t="shared" si="11"/>
        <v>22.142857142857142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4</v>
      </c>
      <c r="AF153" s="1">
        <v>45</v>
      </c>
      <c r="AG153" s="1">
        <v>0</v>
      </c>
      <c r="AH153" s="1">
        <v>2</v>
      </c>
      <c r="AI153" s="1">
        <v>0</v>
      </c>
      <c r="AJ153" s="1">
        <v>0</v>
      </c>
      <c r="AK153" s="1">
        <v>1</v>
      </c>
      <c r="AL153" s="1">
        <v>0</v>
      </c>
      <c r="AM153" s="1">
        <v>54</v>
      </c>
      <c r="AN153" s="1">
        <v>0</v>
      </c>
      <c r="AO153" s="1">
        <v>0</v>
      </c>
      <c r="AP153" s="1">
        <v>0</v>
      </c>
      <c r="AQ153" s="1">
        <v>0</v>
      </c>
      <c r="AR153" s="1">
        <v>1</v>
      </c>
      <c r="AS153" s="1">
        <v>7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2</v>
      </c>
      <c r="BG153" s="1">
        <v>8</v>
      </c>
      <c r="BH153" s="1">
        <v>0</v>
      </c>
      <c r="BI153" s="1">
        <v>0</v>
      </c>
      <c r="BJ153" s="1">
        <v>0</v>
      </c>
      <c r="BK153" s="1">
        <v>0</v>
      </c>
      <c r="BL153" s="1">
        <v>38</v>
      </c>
      <c r="BM153" s="1">
        <v>1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1</v>
      </c>
      <c r="BX153" s="1">
        <v>0</v>
      </c>
      <c r="BY153" s="1">
        <v>0</v>
      </c>
      <c r="BZ153" s="1">
        <v>17</v>
      </c>
      <c r="CA153" s="1">
        <v>9</v>
      </c>
      <c r="CB153" s="1">
        <v>0</v>
      </c>
      <c r="CC153" s="1">
        <v>0</v>
      </c>
      <c r="CD153" s="1">
        <v>9</v>
      </c>
      <c r="CE153" s="1">
        <v>0</v>
      </c>
      <c r="CF153" s="1">
        <v>0</v>
      </c>
      <c r="CG153" s="1">
        <v>0</v>
      </c>
      <c r="CH153" s="1">
        <v>0</v>
      </c>
      <c r="CI153" s="1">
        <v>11</v>
      </c>
      <c r="CJ153" s="1">
        <v>0</v>
      </c>
      <c r="CK153" s="1">
        <v>0</v>
      </c>
      <c r="CL153" s="1">
        <v>0</v>
      </c>
      <c r="CM153" s="1">
        <v>2</v>
      </c>
      <c r="CN153" s="1">
        <v>1</v>
      </c>
      <c r="CO153" s="1">
        <v>0</v>
      </c>
      <c r="CP153" s="1">
        <v>0</v>
      </c>
      <c r="CQ153" s="1">
        <v>0</v>
      </c>
      <c r="CR153" s="1">
        <v>7</v>
      </c>
      <c r="CS153" s="1">
        <v>0</v>
      </c>
      <c r="CT153" s="1">
        <v>2</v>
      </c>
      <c r="CU153" s="1">
        <v>0</v>
      </c>
      <c r="CV153" s="1">
        <v>71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8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3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1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1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1</v>
      </c>
      <c r="FM153" s="1">
        <v>1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1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1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</row>
    <row r="154" spans="1:242" x14ac:dyDescent="0.25">
      <c r="A154">
        <v>16093</v>
      </c>
      <c r="B154">
        <v>22</v>
      </c>
      <c r="C154">
        <v>7</v>
      </c>
      <c r="D154" t="s">
        <v>222</v>
      </c>
      <c r="E154" t="s">
        <v>223</v>
      </c>
      <c r="F154">
        <v>5</v>
      </c>
      <c r="G154">
        <v>28.922583329999998</v>
      </c>
      <c r="H154">
        <v>14.105833329999999</v>
      </c>
      <c r="I154">
        <v>20.322549599999999</v>
      </c>
      <c r="J154">
        <v>93.558333329999996</v>
      </c>
      <c r="K154">
        <v>33.575000000000003</v>
      </c>
      <c r="L154">
        <v>70.905406749999997</v>
      </c>
      <c r="M154">
        <v>14.40912513</v>
      </c>
      <c r="N154">
        <v>0.26400000000000001</v>
      </c>
      <c r="O154">
        <v>1.46</v>
      </c>
      <c r="P154" t="s">
        <v>217</v>
      </c>
      <c r="Q154" t="s">
        <v>216</v>
      </c>
      <c r="R154" t="s">
        <v>216</v>
      </c>
      <c r="S154" t="s">
        <v>217</v>
      </c>
      <c r="T154" t="s">
        <v>217</v>
      </c>
      <c r="U154" t="s">
        <v>217</v>
      </c>
      <c r="V154">
        <f t="shared" si="8"/>
        <v>17</v>
      </c>
      <c r="W154">
        <f t="shared" si="9"/>
        <v>42</v>
      </c>
      <c r="X154">
        <f t="shared" si="10"/>
        <v>2.4285714285714284</v>
      </c>
      <c r="Y154">
        <f t="shared" si="11"/>
        <v>6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5</v>
      </c>
      <c r="CA154" s="1">
        <v>3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2</v>
      </c>
      <c r="CU154" s="1">
        <v>0</v>
      </c>
      <c r="CV154" s="1">
        <v>3</v>
      </c>
      <c r="CW154" s="1">
        <v>0</v>
      </c>
      <c r="CX154" s="1">
        <v>1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1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1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3</v>
      </c>
      <c r="EI154" s="1">
        <v>0</v>
      </c>
      <c r="EJ154" s="1">
        <v>0</v>
      </c>
      <c r="EK154" s="1">
        <v>1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1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3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12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1</v>
      </c>
      <c r="HE154">
        <v>0</v>
      </c>
      <c r="HF154">
        <v>2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</row>
    <row r="155" spans="1:242" x14ac:dyDescent="0.25">
      <c r="A155">
        <v>16098</v>
      </c>
      <c r="B155">
        <v>4</v>
      </c>
      <c r="C155">
        <v>14</v>
      </c>
      <c r="D155" t="s">
        <v>222</v>
      </c>
      <c r="E155" t="s">
        <v>223</v>
      </c>
      <c r="F155">
        <v>4</v>
      </c>
      <c r="G155">
        <v>24.28916667</v>
      </c>
      <c r="H155">
        <v>13.128500000000001</v>
      </c>
      <c r="I155">
        <v>18.615581349999999</v>
      </c>
      <c r="J155">
        <v>94.666666669999998</v>
      </c>
      <c r="K155">
        <v>53.608333330000001</v>
      </c>
      <c r="L155">
        <v>76.023710320000006</v>
      </c>
      <c r="M155">
        <v>14.4322795</v>
      </c>
      <c r="N155">
        <v>-1.04</v>
      </c>
      <c r="O155">
        <v>2.57</v>
      </c>
      <c r="P155" t="s">
        <v>216</v>
      </c>
      <c r="Q155" t="s">
        <v>217</v>
      </c>
      <c r="R155" t="s">
        <v>216</v>
      </c>
      <c r="S155" t="s">
        <v>217</v>
      </c>
      <c r="T155" t="s">
        <v>217</v>
      </c>
      <c r="U155" t="s">
        <v>216</v>
      </c>
      <c r="V155">
        <f t="shared" si="8"/>
        <v>15</v>
      </c>
      <c r="W155">
        <f t="shared" si="9"/>
        <v>47</v>
      </c>
      <c r="X155">
        <f t="shared" si="10"/>
        <v>1.0714285714285714</v>
      </c>
      <c r="Y155">
        <f t="shared" si="11"/>
        <v>3.3571428571428572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6</v>
      </c>
      <c r="AN155" s="1">
        <v>0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2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1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1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1</v>
      </c>
      <c r="BT155" s="1">
        <v>0</v>
      </c>
      <c r="BU155" s="1">
        <v>0</v>
      </c>
      <c r="BV155" s="1">
        <v>0</v>
      </c>
      <c r="BW155" s="1">
        <v>1</v>
      </c>
      <c r="BX155" s="1">
        <v>0</v>
      </c>
      <c r="BY155" s="1">
        <v>0</v>
      </c>
      <c r="BZ155" s="1">
        <v>11</v>
      </c>
      <c r="CA155" s="1">
        <v>1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1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7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9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2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2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</row>
    <row r="156" spans="1:242" x14ac:dyDescent="0.25">
      <c r="A156">
        <v>16102</v>
      </c>
      <c r="B156">
        <v>20</v>
      </c>
      <c r="C156">
        <v>7</v>
      </c>
      <c r="D156" t="s">
        <v>222</v>
      </c>
      <c r="E156" t="s">
        <v>223</v>
      </c>
      <c r="F156">
        <v>4</v>
      </c>
      <c r="G156">
        <v>27.53841667</v>
      </c>
      <c r="H156">
        <v>13.843999999999999</v>
      </c>
      <c r="I156">
        <v>19.403175600000001</v>
      </c>
      <c r="J156">
        <v>95.541666669999998</v>
      </c>
      <c r="K156">
        <v>30.858333330000001</v>
      </c>
      <c r="L156">
        <v>73.659871030000005</v>
      </c>
      <c r="M156">
        <v>14.41258356</v>
      </c>
      <c r="N156">
        <v>-0.253</v>
      </c>
      <c r="O156">
        <v>1.47</v>
      </c>
      <c r="P156" t="s">
        <v>216</v>
      </c>
      <c r="Q156" t="s">
        <v>216</v>
      </c>
      <c r="R156" t="s">
        <v>217</v>
      </c>
      <c r="S156" t="s">
        <v>217</v>
      </c>
      <c r="T156" t="s">
        <v>217</v>
      </c>
      <c r="U156" t="s">
        <v>216</v>
      </c>
      <c r="V156">
        <f t="shared" si="8"/>
        <v>15</v>
      </c>
      <c r="W156">
        <f t="shared" si="9"/>
        <v>39</v>
      </c>
      <c r="X156">
        <f t="shared" si="10"/>
        <v>2.1428571428571428</v>
      </c>
      <c r="Y156">
        <f t="shared" si="11"/>
        <v>5.5714285714285712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5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3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1</v>
      </c>
      <c r="BX156" s="1">
        <v>0</v>
      </c>
      <c r="BY156" s="1">
        <v>0</v>
      </c>
      <c r="BZ156" s="1">
        <v>3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2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3</v>
      </c>
      <c r="CS156" s="1">
        <v>0</v>
      </c>
      <c r="CT156" s="1">
        <v>0</v>
      </c>
      <c r="CU156" s="1">
        <v>0</v>
      </c>
      <c r="CV156" s="1">
        <v>13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1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1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2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1</v>
      </c>
      <c r="EL156" s="1">
        <v>0</v>
      </c>
      <c r="EM156" s="1">
        <v>0</v>
      </c>
      <c r="EN156" s="1">
        <v>0</v>
      </c>
      <c r="EO156" s="1">
        <v>1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0</v>
      </c>
      <c r="IE156">
        <v>0</v>
      </c>
      <c r="IF156">
        <v>0</v>
      </c>
      <c r="IG156">
        <v>0</v>
      </c>
      <c r="IH156">
        <v>0</v>
      </c>
    </row>
    <row r="157" spans="1:242" x14ac:dyDescent="0.25">
      <c r="A157">
        <v>16104</v>
      </c>
      <c r="B157">
        <v>6</v>
      </c>
      <c r="C157">
        <v>6</v>
      </c>
      <c r="D157" t="s">
        <v>224</v>
      </c>
      <c r="E157" t="s">
        <v>220</v>
      </c>
      <c r="F157">
        <v>4</v>
      </c>
      <c r="G157">
        <v>35.412833329999998</v>
      </c>
      <c r="H157">
        <v>11.02708333</v>
      </c>
      <c r="I157">
        <v>19.59300893</v>
      </c>
      <c r="J157">
        <v>90.05</v>
      </c>
      <c r="K157">
        <v>8.15</v>
      </c>
      <c r="L157">
        <v>49.282986110000003</v>
      </c>
      <c r="M157">
        <v>13.98465476</v>
      </c>
      <c r="N157">
        <v>1.71</v>
      </c>
      <c r="O157">
        <v>-1.41</v>
      </c>
      <c r="P157" t="s">
        <v>216</v>
      </c>
      <c r="Q157" t="s">
        <v>217</v>
      </c>
      <c r="R157" t="s">
        <v>217</v>
      </c>
      <c r="S157" t="s">
        <v>217</v>
      </c>
      <c r="T157" t="s">
        <v>217</v>
      </c>
      <c r="U157" t="s">
        <v>216</v>
      </c>
      <c r="V157">
        <f t="shared" si="8"/>
        <v>38</v>
      </c>
      <c r="W157">
        <f t="shared" si="9"/>
        <v>138</v>
      </c>
      <c r="X157">
        <f t="shared" si="10"/>
        <v>6.333333333333333</v>
      </c>
      <c r="Y157">
        <f t="shared" si="11"/>
        <v>23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21</v>
      </c>
      <c r="AN157" s="1">
        <v>8</v>
      </c>
      <c r="AO157" s="1">
        <v>0</v>
      </c>
      <c r="AP157" s="1">
        <v>1</v>
      </c>
      <c r="AQ157" s="1">
        <v>0</v>
      </c>
      <c r="AR157" s="1">
        <v>2</v>
      </c>
      <c r="AS157" s="1">
        <v>1</v>
      </c>
      <c r="AT157" s="1">
        <v>2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1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3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2</v>
      </c>
      <c r="CA157" s="1">
        <v>4</v>
      </c>
      <c r="CB157" s="1">
        <v>0</v>
      </c>
      <c r="CC157" s="1">
        <v>0</v>
      </c>
      <c r="CD157" s="1">
        <v>9</v>
      </c>
      <c r="CE157" s="1">
        <v>0</v>
      </c>
      <c r="CF157" s="1">
        <v>0</v>
      </c>
      <c r="CG157" s="1">
        <v>2</v>
      </c>
      <c r="CH157" s="1">
        <v>0</v>
      </c>
      <c r="CI157" s="1">
        <v>4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1</v>
      </c>
      <c r="CS157" s="1">
        <v>0</v>
      </c>
      <c r="CT157" s="1">
        <v>0</v>
      </c>
      <c r="CU157" s="1">
        <v>0</v>
      </c>
      <c r="CV157" s="1">
        <v>28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2</v>
      </c>
      <c r="DC157" s="1">
        <v>1</v>
      </c>
      <c r="DD157" s="1">
        <v>0</v>
      </c>
      <c r="DE157" s="1">
        <v>0</v>
      </c>
      <c r="DF157" s="1">
        <v>0</v>
      </c>
      <c r="DG157" s="1">
        <v>3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1</v>
      </c>
      <c r="DP157" s="1">
        <v>0</v>
      </c>
      <c r="DQ157" s="1">
        <v>0</v>
      </c>
      <c r="DR157" s="1">
        <v>0</v>
      </c>
      <c r="DS157" s="1">
        <v>7</v>
      </c>
      <c r="DT157" s="1">
        <v>0</v>
      </c>
      <c r="DU157" s="1">
        <v>0</v>
      </c>
      <c r="DV157" s="1">
        <v>1</v>
      </c>
      <c r="DW157" s="1">
        <v>0</v>
      </c>
      <c r="DX157" s="1">
        <v>1</v>
      </c>
      <c r="DY157" s="1">
        <v>0</v>
      </c>
      <c r="DZ157" s="1">
        <v>3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10</v>
      </c>
      <c r="EL157" s="1">
        <v>0</v>
      </c>
      <c r="EM157" s="1">
        <v>2</v>
      </c>
      <c r="EN157" s="1">
        <v>1</v>
      </c>
      <c r="EO157" s="1">
        <v>0</v>
      </c>
      <c r="EP157" s="1">
        <v>0</v>
      </c>
      <c r="EQ157" s="1">
        <v>0</v>
      </c>
      <c r="ER157" s="1">
        <v>1</v>
      </c>
      <c r="ES157" s="1">
        <v>0</v>
      </c>
      <c r="ET157" s="1">
        <v>0</v>
      </c>
      <c r="EU157" s="1">
        <v>1</v>
      </c>
      <c r="EV157" s="1">
        <v>0</v>
      </c>
      <c r="EW157" s="1">
        <v>0</v>
      </c>
      <c r="EX157" s="1">
        <v>0</v>
      </c>
      <c r="EY157" s="1">
        <v>0</v>
      </c>
      <c r="EZ157" s="1">
        <v>1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3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1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2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</v>
      </c>
      <c r="HS157">
        <v>1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1</v>
      </c>
      <c r="IC157">
        <v>0</v>
      </c>
      <c r="ID157">
        <v>0</v>
      </c>
      <c r="IE157">
        <v>0</v>
      </c>
      <c r="IF157">
        <v>3</v>
      </c>
      <c r="IG157">
        <v>0</v>
      </c>
      <c r="IH157">
        <v>1</v>
      </c>
    </row>
    <row r="158" spans="1:242" x14ac:dyDescent="0.25">
      <c r="A158">
        <v>16107</v>
      </c>
      <c r="B158">
        <v>6</v>
      </c>
      <c r="C158">
        <v>7</v>
      </c>
      <c r="D158" t="s">
        <v>222</v>
      </c>
      <c r="E158" t="s">
        <v>223</v>
      </c>
      <c r="F158">
        <v>4</v>
      </c>
      <c r="G158">
        <v>28.151499999999999</v>
      </c>
      <c r="H158">
        <v>13.667833330000001</v>
      </c>
      <c r="I158">
        <v>19.349921129999998</v>
      </c>
      <c r="J158">
        <v>97.224999999999994</v>
      </c>
      <c r="K158">
        <v>31.041666670000001</v>
      </c>
      <c r="L158">
        <v>75.567460319999995</v>
      </c>
      <c r="M158">
        <v>14.41289993</v>
      </c>
      <c r="N158">
        <v>-0.437</v>
      </c>
      <c r="O158">
        <v>1.61</v>
      </c>
      <c r="P158" t="s">
        <v>216</v>
      </c>
      <c r="Q158" t="s">
        <v>217</v>
      </c>
      <c r="R158" t="s">
        <v>217</v>
      </c>
      <c r="S158" t="s">
        <v>217</v>
      </c>
      <c r="T158" t="s">
        <v>217</v>
      </c>
      <c r="U158" t="s">
        <v>216</v>
      </c>
      <c r="V158">
        <f t="shared" si="8"/>
        <v>34</v>
      </c>
      <c r="W158">
        <f t="shared" si="9"/>
        <v>110</v>
      </c>
      <c r="X158">
        <f t="shared" si="10"/>
        <v>4.8571428571428568</v>
      </c>
      <c r="Y158">
        <f t="shared" si="11"/>
        <v>15.714285714285714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2</v>
      </c>
      <c r="AN158" s="1">
        <v>1</v>
      </c>
      <c r="AO158" s="1">
        <v>0</v>
      </c>
      <c r="AP158" s="1">
        <v>0</v>
      </c>
      <c r="AQ158" s="1">
        <v>0</v>
      </c>
      <c r="AR158" s="1">
        <v>1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7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2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3</v>
      </c>
      <c r="BX158" s="1">
        <v>0</v>
      </c>
      <c r="BY158" s="1">
        <v>0</v>
      </c>
      <c r="BZ158" s="1">
        <v>3</v>
      </c>
      <c r="CA158" s="1">
        <v>1</v>
      </c>
      <c r="CB158" s="1">
        <v>0</v>
      </c>
      <c r="CC158" s="1">
        <v>0</v>
      </c>
      <c r="CD158" s="1">
        <v>3</v>
      </c>
      <c r="CE158" s="1">
        <v>0</v>
      </c>
      <c r="CF158" s="1">
        <v>0</v>
      </c>
      <c r="CG158" s="1">
        <v>1</v>
      </c>
      <c r="CH158" s="1">
        <v>0</v>
      </c>
      <c r="CI158" s="1">
        <v>4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4</v>
      </c>
      <c r="CS158" s="1">
        <v>0</v>
      </c>
      <c r="CT158" s="1">
        <v>1</v>
      </c>
      <c r="CU158" s="1">
        <v>0</v>
      </c>
      <c r="CV158" s="1">
        <v>19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4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4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8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5</v>
      </c>
      <c r="EL158" s="1">
        <v>0</v>
      </c>
      <c r="EM158" s="1">
        <v>5</v>
      </c>
      <c r="EN158" s="1">
        <v>0</v>
      </c>
      <c r="EO158" s="1">
        <v>7</v>
      </c>
      <c r="EP158" s="1">
        <v>0</v>
      </c>
      <c r="EQ158" s="1">
        <v>2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1</v>
      </c>
      <c r="EX158" s="1">
        <v>0</v>
      </c>
      <c r="EY158" s="1">
        <v>0</v>
      </c>
      <c r="EZ158" s="1">
        <v>1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1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2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1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5</v>
      </c>
      <c r="GY158">
        <v>0</v>
      </c>
      <c r="GZ158">
        <v>0</v>
      </c>
      <c r="HA158">
        <v>1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3</v>
      </c>
      <c r="IG158">
        <v>0</v>
      </c>
      <c r="IH158">
        <v>3</v>
      </c>
    </row>
    <row r="159" spans="1:242" x14ac:dyDescent="0.25">
      <c r="A159">
        <v>16109</v>
      </c>
      <c r="B159">
        <v>5</v>
      </c>
      <c r="C159">
        <v>7</v>
      </c>
      <c r="D159" t="s">
        <v>224</v>
      </c>
      <c r="E159" t="s">
        <v>220</v>
      </c>
      <c r="F159">
        <v>3</v>
      </c>
      <c r="G159">
        <v>35.688416670000002</v>
      </c>
      <c r="H159">
        <v>10.81775</v>
      </c>
      <c r="I159">
        <v>19.758151089999998</v>
      </c>
      <c r="J159">
        <v>91.25</v>
      </c>
      <c r="K159">
        <v>8.3083333330000002</v>
      </c>
      <c r="L159">
        <v>48.511299600000001</v>
      </c>
      <c r="M159">
        <v>13.982990559999999</v>
      </c>
      <c r="N159">
        <v>1.64</v>
      </c>
      <c r="O159">
        <v>-1.4</v>
      </c>
      <c r="P159" t="s">
        <v>216</v>
      </c>
      <c r="Q159" t="s">
        <v>216</v>
      </c>
      <c r="R159" t="s">
        <v>216</v>
      </c>
      <c r="S159" t="s">
        <v>217</v>
      </c>
      <c r="T159" t="s">
        <v>217</v>
      </c>
      <c r="U159" t="s">
        <v>216</v>
      </c>
      <c r="V159">
        <f t="shared" si="8"/>
        <v>35</v>
      </c>
      <c r="W159">
        <f t="shared" si="9"/>
        <v>419</v>
      </c>
      <c r="X159">
        <f t="shared" si="10"/>
        <v>5</v>
      </c>
      <c r="Y159">
        <f t="shared" si="11"/>
        <v>59.857142857142854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1</v>
      </c>
      <c r="AF159" s="1">
        <v>2</v>
      </c>
      <c r="AG159" s="1">
        <v>0</v>
      </c>
      <c r="AH159" s="1">
        <v>3</v>
      </c>
      <c r="AI159" s="1">
        <v>0</v>
      </c>
      <c r="AJ159" s="1">
        <v>0</v>
      </c>
      <c r="AK159" s="1">
        <v>0</v>
      </c>
      <c r="AL159" s="1">
        <v>0</v>
      </c>
      <c r="AM159" s="1">
        <v>13</v>
      </c>
      <c r="AN159" s="1">
        <v>1</v>
      </c>
      <c r="AO159" s="1">
        <v>0</v>
      </c>
      <c r="AP159" s="1">
        <v>3</v>
      </c>
      <c r="AQ159" s="1">
        <v>0</v>
      </c>
      <c r="AR159" s="1">
        <v>5</v>
      </c>
      <c r="AS159" s="1">
        <v>1</v>
      </c>
      <c r="AT159" s="1">
        <v>5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6</v>
      </c>
      <c r="BH159" s="1">
        <v>0</v>
      </c>
      <c r="BI159" s="1">
        <v>0</v>
      </c>
      <c r="BJ159" s="1">
        <v>0</v>
      </c>
      <c r="BK159" s="1">
        <v>0</v>
      </c>
      <c r="BL159" s="1">
        <v>73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3</v>
      </c>
      <c r="BZ159" s="1">
        <v>8</v>
      </c>
      <c r="CA159" s="1">
        <v>163</v>
      </c>
      <c r="CB159" s="1">
        <v>0</v>
      </c>
      <c r="CC159" s="1">
        <v>0</v>
      </c>
      <c r="CD159" s="1">
        <v>13</v>
      </c>
      <c r="CE159" s="1">
        <v>0</v>
      </c>
      <c r="CF159" s="1">
        <v>0</v>
      </c>
      <c r="CG159" s="1">
        <v>0</v>
      </c>
      <c r="CH159" s="1">
        <v>0</v>
      </c>
      <c r="CI159" s="1">
        <v>38</v>
      </c>
      <c r="CJ159" s="1">
        <v>0</v>
      </c>
      <c r="CK159" s="1">
        <v>0</v>
      </c>
      <c r="CL159" s="1">
        <v>0</v>
      </c>
      <c r="CM159" s="1">
        <v>1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40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4</v>
      </c>
      <c r="DC159" s="1">
        <v>0</v>
      </c>
      <c r="DD159" s="1">
        <v>0</v>
      </c>
      <c r="DE159" s="1">
        <v>0</v>
      </c>
      <c r="DF159" s="1">
        <v>0</v>
      </c>
      <c r="DG159" s="1">
        <v>2</v>
      </c>
      <c r="DH159" s="1">
        <v>1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1</v>
      </c>
      <c r="DX159" s="1">
        <v>0</v>
      </c>
      <c r="DY159" s="1">
        <v>0</v>
      </c>
      <c r="DZ159" s="1">
        <v>2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5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2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6</v>
      </c>
      <c r="FN159" s="1">
        <v>1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3</v>
      </c>
      <c r="GC159" s="1">
        <v>0</v>
      </c>
      <c r="GD159" s="1">
        <v>0</v>
      </c>
      <c r="GE159" s="1">
        <v>0</v>
      </c>
      <c r="GF159" s="1">
        <v>1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3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2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1</v>
      </c>
      <c r="IG159">
        <v>0</v>
      </c>
      <c r="IH159">
        <v>4</v>
      </c>
    </row>
    <row r="160" spans="1:242" x14ac:dyDescent="0.25">
      <c r="A160">
        <v>16113</v>
      </c>
      <c r="B160">
        <v>5</v>
      </c>
      <c r="C160">
        <v>7</v>
      </c>
      <c r="D160" t="s">
        <v>222</v>
      </c>
      <c r="E160" t="s">
        <v>223</v>
      </c>
      <c r="F160">
        <v>3</v>
      </c>
      <c r="G160">
        <v>28.611416670000001</v>
      </c>
      <c r="H160">
        <v>13.180583329999999</v>
      </c>
      <c r="I160">
        <v>19.250056050000001</v>
      </c>
      <c r="J160">
        <v>96.775000000000006</v>
      </c>
      <c r="K160">
        <v>36.549999999999997</v>
      </c>
      <c r="L160">
        <v>75.513392859999996</v>
      </c>
      <c r="M160">
        <v>14.410837770000001</v>
      </c>
      <c r="N160">
        <v>-0.48099999999999998</v>
      </c>
      <c r="O160">
        <v>1.79</v>
      </c>
      <c r="P160" t="s">
        <v>216</v>
      </c>
      <c r="Q160" t="s">
        <v>216</v>
      </c>
      <c r="R160" t="s">
        <v>216</v>
      </c>
      <c r="S160" t="s">
        <v>217</v>
      </c>
      <c r="T160" t="s">
        <v>217</v>
      </c>
      <c r="U160" t="s">
        <v>216</v>
      </c>
      <c r="V160">
        <f t="shared" si="8"/>
        <v>42</v>
      </c>
      <c r="W160">
        <f t="shared" si="9"/>
        <v>488</v>
      </c>
      <c r="X160">
        <f t="shared" si="10"/>
        <v>6</v>
      </c>
      <c r="Y160">
        <f t="shared" si="11"/>
        <v>69.714285714285708</v>
      </c>
      <c r="Z160" s="1">
        <v>0</v>
      </c>
      <c r="AA160" s="1">
        <v>1</v>
      </c>
      <c r="AB160" s="1">
        <v>0</v>
      </c>
      <c r="AC160" s="1">
        <v>0</v>
      </c>
      <c r="AD160" s="1">
        <v>0</v>
      </c>
      <c r="AE160" s="1">
        <v>2</v>
      </c>
      <c r="AF160" s="1">
        <v>12</v>
      </c>
      <c r="AG160" s="1">
        <v>0</v>
      </c>
      <c r="AH160" s="1">
        <v>0</v>
      </c>
      <c r="AI160" s="1">
        <v>0</v>
      </c>
      <c r="AJ160" s="1">
        <v>0</v>
      </c>
      <c r="AK160" s="1">
        <v>2</v>
      </c>
      <c r="AL160" s="1">
        <v>0</v>
      </c>
      <c r="AM160" s="1">
        <v>9</v>
      </c>
      <c r="AN160" s="1">
        <v>1</v>
      </c>
      <c r="AO160" s="1">
        <v>0</v>
      </c>
      <c r="AP160" s="1">
        <v>0</v>
      </c>
      <c r="AQ160" s="1">
        <v>0</v>
      </c>
      <c r="AR160" s="1">
        <v>2</v>
      </c>
      <c r="AS160" s="1">
        <v>0</v>
      </c>
      <c r="AT160" s="1">
        <v>23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</v>
      </c>
      <c r="BF160" s="1">
        <v>1</v>
      </c>
      <c r="BG160" s="1">
        <v>2</v>
      </c>
      <c r="BH160" s="1">
        <v>0</v>
      </c>
      <c r="BI160" s="1">
        <v>0</v>
      </c>
      <c r="BJ160" s="1">
        <v>0</v>
      </c>
      <c r="BK160" s="1">
        <v>0</v>
      </c>
      <c r="BL160" s="1">
        <v>54</v>
      </c>
      <c r="BM160" s="1">
        <v>7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2</v>
      </c>
      <c r="BX160" s="1">
        <v>0</v>
      </c>
      <c r="BY160" s="1">
        <v>2</v>
      </c>
      <c r="BZ160" s="1">
        <v>10</v>
      </c>
      <c r="CA160" s="1">
        <v>123</v>
      </c>
      <c r="CB160" s="1">
        <v>0</v>
      </c>
      <c r="CC160" s="1">
        <v>0</v>
      </c>
      <c r="CD160" s="1">
        <v>47</v>
      </c>
      <c r="CE160" s="1">
        <v>0</v>
      </c>
      <c r="CF160" s="1">
        <v>0</v>
      </c>
      <c r="CG160" s="1">
        <v>3</v>
      </c>
      <c r="CH160" s="1">
        <v>0</v>
      </c>
      <c r="CI160" s="1">
        <v>44</v>
      </c>
      <c r="CJ160" s="1">
        <v>0</v>
      </c>
      <c r="CK160" s="1">
        <v>0</v>
      </c>
      <c r="CL160" s="1">
        <v>0</v>
      </c>
      <c r="CM160" s="1">
        <v>1</v>
      </c>
      <c r="CN160" s="1">
        <v>0</v>
      </c>
      <c r="CO160" s="1">
        <v>0</v>
      </c>
      <c r="CP160" s="1">
        <v>0</v>
      </c>
      <c r="CQ160" s="1">
        <v>0</v>
      </c>
      <c r="CR160" s="1">
        <v>2</v>
      </c>
      <c r="CS160" s="1">
        <v>0</v>
      </c>
      <c r="CT160" s="1">
        <v>1</v>
      </c>
      <c r="CU160" s="1">
        <v>0</v>
      </c>
      <c r="CV160" s="1">
        <v>45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4</v>
      </c>
      <c r="DC160" s="1">
        <v>0</v>
      </c>
      <c r="DD160" s="1">
        <v>0</v>
      </c>
      <c r="DE160" s="1">
        <v>0</v>
      </c>
      <c r="DF160" s="1">
        <v>0</v>
      </c>
      <c r="DG160" s="1">
        <v>7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2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1</v>
      </c>
      <c r="DX160" s="1">
        <v>0</v>
      </c>
      <c r="DY160" s="1">
        <v>0</v>
      </c>
      <c r="DZ160" s="1">
        <v>3</v>
      </c>
      <c r="EA160" s="1">
        <v>0</v>
      </c>
      <c r="EB160" s="1">
        <v>11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1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1</v>
      </c>
      <c r="EV160" s="1">
        <v>0</v>
      </c>
      <c r="EW160" s="1">
        <v>0</v>
      </c>
      <c r="EX160" s="1">
        <v>0</v>
      </c>
      <c r="EY160" s="1">
        <v>0</v>
      </c>
      <c r="EZ160" s="1">
        <v>1</v>
      </c>
      <c r="FA160" s="1">
        <v>0</v>
      </c>
      <c r="FB160" s="1">
        <v>2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6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1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3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1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0</v>
      </c>
      <c r="IE160">
        <v>0</v>
      </c>
      <c r="IF160">
        <v>0</v>
      </c>
      <c r="IG160">
        <v>0</v>
      </c>
      <c r="IH160">
        <v>44</v>
      </c>
    </row>
    <row r="161" spans="1:242" x14ac:dyDescent="0.25">
      <c r="A161">
        <v>16116</v>
      </c>
      <c r="B161">
        <v>10</v>
      </c>
      <c r="C161">
        <v>7</v>
      </c>
      <c r="D161" t="s">
        <v>224</v>
      </c>
      <c r="E161" t="s">
        <v>220</v>
      </c>
      <c r="F161">
        <v>8</v>
      </c>
      <c r="G161">
        <v>37.976583329999997</v>
      </c>
      <c r="H161">
        <v>11.43491667</v>
      </c>
      <c r="I161">
        <v>20.42885236</v>
      </c>
      <c r="J161">
        <v>88.833333330000002</v>
      </c>
      <c r="K161">
        <v>8.3333333330000006</v>
      </c>
      <c r="L161">
        <v>50.097632580000003</v>
      </c>
      <c r="M161">
        <v>13.977272620000001</v>
      </c>
      <c r="N161">
        <v>2.2200000000000002</v>
      </c>
      <c r="O161">
        <v>-1.38</v>
      </c>
      <c r="P161" t="s">
        <v>216</v>
      </c>
      <c r="Q161" t="s">
        <v>217</v>
      </c>
      <c r="R161" t="s">
        <v>217</v>
      </c>
      <c r="S161" t="s">
        <v>217</v>
      </c>
      <c r="T161" t="s">
        <v>217</v>
      </c>
      <c r="U161" t="s">
        <v>217</v>
      </c>
      <c r="V161">
        <f t="shared" si="8"/>
        <v>14</v>
      </c>
      <c r="W161">
        <f t="shared" si="9"/>
        <v>46</v>
      </c>
      <c r="X161">
        <f t="shared" si="10"/>
        <v>2</v>
      </c>
      <c r="Y161">
        <f t="shared" si="11"/>
        <v>6.5714285714285712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15</v>
      </c>
      <c r="AN161" s="1">
        <v>0</v>
      </c>
      <c r="AO161" s="1">
        <v>0</v>
      </c>
      <c r="AP161" s="1">
        <v>7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2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9</v>
      </c>
      <c r="CA161" s="1">
        <v>1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2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2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1</v>
      </c>
      <c r="EO161" s="1">
        <v>0</v>
      </c>
      <c r="EP161" s="1">
        <v>0</v>
      </c>
      <c r="EQ161" s="1">
        <v>0</v>
      </c>
      <c r="ER161" s="1">
        <v>1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1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1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2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1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</row>
    <row r="162" spans="1:242" x14ac:dyDescent="0.25">
      <c r="A162">
        <v>16120</v>
      </c>
      <c r="B162">
        <v>10</v>
      </c>
      <c r="C162">
        <v>7</v>
      </c>
      <c r="D162" t="s">
        <v>222</v>
      </c>
      <c r="E162" t="s">
        <v>223</v>
      </c>
      <c r="F162">
        <v>8</v>
      </c>
      <c r="G162">
        <v>27.715166669999999</v>
      </c>
      <c r="H162">
        <v>13.849083329999999</v>
      </c>
      <c r="I162">
        <v>19.962355649999999</v>
      </c>
      <c r="J162">
        <v>94.2</v>
      </c>
      <c r="K162">
        <v>42.166666669999998</v>
      </c>
      <c r="L162">
        <v>73.346081350000006</v>
      </c>
      <c r="M162">
        <v>14.40375293</v>
      </c>
      <c r="N162">
        <v>-0.18099999999999999</v>
      </c>
      <c r="O162">
        <v>1.98</v>
      </c>
      <c r="P162" t="s">
        <v>216</v>
      </c>
      <c r="Q162" t="s">
        <v>217</v>
      </c>
      <c r="R162" t="s">
        <v>217</v>
      </c>
      <c r="S162" t="s">
        <v>217</v>
      </c>
      <c r="T162" t="s">
        <v>217</v>
      </c>
      <c r="U162" t="s">
        <v>217</v>
      </c>
      <c r="V162">
        <f t="shared" si="8"/>
        <v>4</v>
      </c>
      <c r="W162">
        <f t="shared" si="9"/>
        <v>6</v>
      </c>
      <c r="X162">
        <f t="shared" si="10"/>
        <v>0.5714285714285714</v>
      </c>
      <c r="Y162">
        <f t="shared" si="11"/>
        <v>0.8571428571428571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2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1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2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1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</row>
    <row r="163" spans="1:242" x14ac:dyDescent="0.25">
      <c r="A163">
        <v>16127</v>
      </c>
      <c r="B163">
        <v>18</v>
      </c>
      <c r="C163">
        <v>7</v>
      </c>
      <c r="D163" t="s">
        <v>222</v>
      </c>
      <c r="E163" t="s">
        <v>223</v>
      </c>
      <c r="F163">
        <v>9</v>
      </c>
      <c r="G163">
        <v>27.56</v>
      </c>
      <c r="H163">
        <v>11.23216667</v>
      </c>
      <c r="I163">
        <v>19.522993060000001</v>
      </c>
      <c r="J163">
        <v>95.25</v>
      </c>
      <c r="K163">
        <v>39.958333330000002</v>
      </c>
      <c r="L163">
        <v>74.698908729999999</v>
      </c>
      <c r="M163">
        <v>14.409420860000001</v>
      </c>
      <c r="N163">
        <v>-0.61099999999999999</v>
      </c>
      <c r="O163">
        <v>1.68</v>
      </c>
      <c r="P163" t="s">
        <v>216</v>
      </c>
      <c r="Q163" t="s">
        <v>217</v>
      </c>
      <c r="R163" t="s">
        <v>217</v>
      </c>
      <c r="S163" t="s">
        <v>217</v>
      </c>
      <c r="T163" t="s">
        <v>217</v>
      </c>
      <c r="U163" t="s">
        <v>217</v>
      </c>
      <c r="V163">
        <f t="shared" si="8"/>
        <v>29</v>
      </c>
      <c r="W163">
        <f t="shared" si="9"/>
        <v>286</v>
      </c>
      <c r="X163">
        <f t="shared" si="10"/>
        <v>4.1428571428571432</v>
      </c>
      <c r="Y163">
        <f t="shared" si="11"/>
        <v>40.857142857142854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0</v>
      </c>
      <c r="AG163" s="1">
        <v>0</v>
      </c>
      <c r="AH163" s="1">
        <v>3</v>
      </c>
      <c r="AI163" s="1">
        <v>1</v>
      </c>
      <c r="AJ163" s="1">
        <v>0</v>
      </c>
      <c r="AK163" s="1">
        <v>0</v>
      </c>
      <c r="AL163" s="1">
        <v>0</v>
      </c>
      <c r="AM163" s="1">
        <v>116</v>
      </c>
      <c r="AN163" s="1">
        <v>0</v>
      </c>
      <c r="AO163" s="1">
        <v>0</v>
      </c>
      <c r="AP163" s="1">
        <v>5</v>
      </c>
      <c r="AQ163" s="1">
        <v>0</v>
      </c>
      <c r="AR163" s="1">
        <v>1</v>
      </c>
      <c r="AS163" s="1">
        <v>2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</v>
      </c>
      <c r="BG163" s="1">
        <v>3</v>
      </c>
      <c r="BH163" s="1">
        <v>0</v>
      </c>
      <c r="BI163" s="1">
        <v>0</v>
      </c>
      <c r="BJ163" s="1">
        <v>0</v>
      </c>
      <c r="BK163" s="1">
        <v>0</v>
      </c>
      <c r="BL163" s="1">
        <v>9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32</v>
      </c>
      <c r="CA163" s="1">
        <v>7</v>
      </c>
      <c r="CB163" s="1">
        <v>0</v>
      </c>
      <c r="CC163" s="1">
        <v>0</v>
      </c>
      <c r="CD163" s="1">
        <v>26</v>
      </c>
      <c r="CE163" s="1">
        <v>0</v>
      </c>
      <c r="CF163" s="1">
        <v>0</v>
      </c>
      <c r="CG163" s="1">
        <v>6</v>
      </c>
      <c r="CH163" s="1">
        <v>0</v>
      </c>
      <c r="CI163" s="1">
        <v>4</v>
      </c>
      <c r="CJ163" s="1">
        <v>0</v>
      </c>
      <c r="CK163" s="1">
        <v>0</v>
      </c>
      <c r="CL163" s="1">
        <v>0</v>
      </c>
      <c r="CM163" s="1">
        <v>1</v>
      </c>
      <c r="CN163" s="1">
        <v>5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35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10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1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5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1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4</v>
      </c>
      <c r="FU163" s="1">
        <v>0</v>
      </c>
      <c r="FV163" s="1">
        <v>0</v>
      </c>
      <c r="FW163" s="1">
        <v>0</v>
      </c>
      <c r="FX163" s="1">
        <v>0</v>
      </c>
      <c r="FY163" s="1">
        <v>1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1</v>
      </c>
      <c r="GF163" s="1">
        <v>1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1</v>
      </c>
      <c r="GQ163" s="1">
        <v>0</v>
      </c>
      <c r="GR163" s="1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1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2</v>
      </c>
    </row>
    <row r="164" spans="1:242" x14ac:dyDescent="0.25">
      <c r="A164">
        <v>16133</v>
      </c>
      <c r="B164">
        <v>26</v>
      </c>
      <c r="C164">
        <v>7</v>
      </c>
      <c r="D164" t="s">
        <v>222</v>
      </c>
      <c r="E164" t="s">
        <v>223</v>
      </c>
      <c r="F164">
        <v>9</v>
      </c>
      <c r="G164">
        <v>25.27483333</v>
      </c>
      <c r="H164">
        <v>13.45533333</v>
      </c>
      <c r="I164">
        <v>19.075630950000001</v>
      </c>
      <c r="J164">
        <v>95.891666670000006</v>
      </c>
      <c r="K164">
        <v>42.758333329999999</v>
      </c>
      <c r="L164">
        <v>77.614980160000002</v>
      </c>
      <c r="M164">
        <v>14.407657090000001</v>
      </c>
      <c r="N164">
        <v>-0.86799999999999999</v>
      </c>
      <c r="O164">
        <v>2.21</v>
      </c>
      <c r="P164" t="s">
        <v>217</v>
      </c>
      <c r="Q164" t="s">
        <v>217</v>
      </c>
      <c r="R164" t="s">
        <v>217</v>
      </c>
      <c r="S164" t="s">
        <v>216</v>
      </c>
      <c r="T164" t="s">
        <v>216</v>
      </c>
      <c r="U164" t="s">
        <v>217</v>
      </c>
      <c r="V164">
        <f t="shared" si="8"/>
        <v>12</v>
      </c>
      <c r="W164">
        <f t="shared" si="9"/>
        <v>51</v>
      </c>
      <c r="X164">
        <f t="shared" si="10"/>
        <v>1.7142857142857142</v>
      </c>
      <c r="Y164">
        <f t="shared" si="11"/>
        <v>7.2857142857142856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8</v>
      </c>
      <c r="AN164" s="1">
        <v>3</v>
      </c>
      <c r="AO164" s="1">
        <v>0</v>
      </c>
      <c r="AP164" s="1">
        <v>1</v>
      </c>
      <c r="AQ164" s="1">
        <v>0</v>
      </c>
      <c r="AR164" s="1">
        <v>7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7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16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4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1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1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1</v>
      </c>
      <c r="GQ164" s="1">
        <v>0</v>
      </c>
      <c r="GR164" s="1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</row>
    <row r="165" spans="1:242" x14ac:dyDescent="0.25">
      <c r="A165">
        <v>16137</v>
      </c>
      <c r="B165">
        <v>16</v>
      </c>
      <c r="C165">
        <v>14</v>
      </c>
      <c r="D165" t="s">
        <v>222</v>
      </c>
      <c r="E165" t="s">
        <v>223</v>
      </c>
      <c r="F165">
        <v>8</v>
      </c>
      <c r="G165">
        <v>30.878916669999999</v>
      </c>
      <c r="H165">
        <v>13.36708333</v>
      </c>
      <c r="I165">
        <v>21.382892859999998</v>
      </c>
      <c r="J165">
        <v>94.866666670000001</v>
      </c>
      <c r="K165">
        <v>38.174999999999997</v>
      </c>
      <c r="L165">
        <v>71.272222220000003</v>
      </c>
      <c r="M165">
        <v>14.411079450000001</v>
      </c>
      <c r="N165">
        <v>0.32100000000000001</v>
      </c>
      <c r="O165">
        <v>1.72</v>
      </c>
      <c r="P165" t="s">
        <v>217</v>
      </c>
      <c r="Q165" t="s">
        <v>217</v>
      </c>
      <c r="R165" t="s">
        <v>217</v>
      </c>
      <c r="S165" t="s">
        <v>216</v>
      </c>
      <c r="T165" t="s">
        <v>216</v>
      </c>
      <c r="U165" t="s">
        <v>217</v>
      </c>
      <c r="V165">
        <f t="shared" si="8"/>
        <v>45</v>
      </c>
      <c r="W165">
        <f t="shared" si="9"/>
        <v>365</v>
      </c>
      <c r="X165">
        <f t="shared" si="10"/>
        <v>3.2142857142857144</v>
      </c>
      <c r="Y165">
        <f t="shared" si="11"/>
        <v>26.071428571428573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4</v>
      </c>
      <c r="AF165" s="1">
        <v>32</v>
      </c>
      <c r="AG165" s="1">
        <v>0</v>
      </c>
      <c r="AH165" s="1">
        <v>4</v>
      </c>
      <c r="AI165" s="1">
        <v>1</v>
      </c>
      <c r="AJ165" s="1">
        <v>0</v>
      </c>
      <c r="AK165" s="1">
        <v>1</v>
      </c>
      <c r="AL165" s="1">
        <v>0</v>
      </c>
      <c r="AM165" s="1">
        <v>25</v>
      </c>
      <c r="AN165" s="1">
        <v>1</v>
      </c>
      <c r="AO165" s="1">
        <v>0</v>
      </c>
      <c r="AP165" s="1">
        <v>1</v>
      </c>
      <c r="AQ165" s="1">
        <v>0</v>
      </c>
      <c r="AR165" s="1">
        <v>0</v>
      </c>
      <c r="AS165" s="1">
        <v>2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9</v>
      </c>
      <c r="BF165" s="1">
        <v>0</v>
      </c>
      <c r="BG165" s="1">
        <v>2</v>
      </c>
      <c r="BH165" s="1">
        <v>0</v>
      </c>
      <c r="BI165" s="1">
        <v>0</v>
      </c>
      <c r="BJ165" s="1">
        <v>0</v>
      </c>
      <c r="BK165" s="1">
        <v>0</v>
      </c>
      <c r="BL165" s="1">
        <v>8</v>
      </c>
      <c r="BM165" s="1">
        <v>5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20</v>
      </c>
      <c r="CA165" s="1">
        <v>18</v>
      </c>
      <c r="CB165" s="1">
        <v>0</v>
      </c>
      <c r="CC165" s="1">
        <v>0</v>
      </c>
      <c r="CD165" s="1">
        <v>80</v>
      </c>
      <c r="CE165" s="1">
        <v>0</v>
      </c>
      <c r="CF165" s="1">
        <v>0</v>
      </c>
      <c r="CG165" s="1">
        <v>37</v>
      </c>
      <c r="CH165" s="1">
        <v>0</v>
      </c>
      <c r="CI165" s="1">
        <v>2</v>
      </c>
      <c r="CJ165" s="1">
        <v>0</v>
      </c>
      <c r="CK165" s="1">
        <v>0</v>
      </c>
      <c r="CL165" s="1">
        <v>0</v>
      </c>
      <c r="CM165" s="1">
        <v>4</v>
      </c>
      <c r="CN165" s="1">
        <v>2</v>
      </c>
      <c r="CO165" s="1">
        <v>0</v>
      </c>
      <c r="CP165" s="1">
        <v>0</v>
      </c>
      <c r="CQ165" s="1">
        <v>0</v>
      </c>
      <c r="CR165" s="1">
        <v>2</v>
      </c>
      <c r="CS165" s="1">
        <v>0</v>
      </c>
      <c r="CT165" s="1">
        <v>1</v>
      </c>
      <c r="CU165" s="1">
        <v>0</v>
      </c>
      <c r="CV165" s="1">
        <v>27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30</v>
      </c>
      <c r="DC165" s="1">
        <v>11</v>
      </c>
      <c r="DD165" s="1">
        <v>0</v>
      </c>
      <c r="DE165" s="1">
        <v>1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3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5</v>
      </c>
      <c r="EA165" s="1">
        <v>0</v>
      </c>
      <c r="EB165" s="1">
        <v>1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1</v>
      </c>
      <c r="EL165" s="1">
        <v>0</v>
      </c>
      <c r="EM165" s="1">
        <v>0</v>
      </c>
      <c r="EN165" s="1">
        <v>3</v>
      </c>
      <c r="EO165" s="1">
        <v>0</v>
      </c>
      <c r="EP165" s="1">
        <v>0</v>
      </c>
      <c r="EQ165" s="1">
        <v>0</v>
      </c>
      <c r="ER165" s="1">
        <v>1</v>
      </c>
      <c r="ES165" s="1">
        <v>0</v>
      </c>
      <c r="ET165" s="1">
        <v>0</v>
      </c>
      <c r="EU165" s="1">
        <v>1</v>
      </c>
      <c r="EV165" s="1">
        <v>0</v>
      </c>
      <c r="EW165" s="1">
        <v>0</v>
      </c>
      <c r="EX165" s="1">
        <v>0</v>
      </c>
      <c r="EY165" s="1">
        <v>0</v>
      </c>
      <c r="EZ165" s="1">
        <v>1</v>
      </c>
      <c r="FA165" s="1">
        <v>4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1</v>
      </c>
      <c r="GD165" s="1">
        <v>0</v>
      </c>
      <c r="GE165" s="1">
        <v>1</v>
      </c>
      <c r="GF165" s="1">
        <v>2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1</v>
      </c>
      <c r="HE165">
        <v>1</v>
      </c>
      <c r="HF165">
        <v>2</v>
      </c>
      <c r="HG165">
        <v>0</v>
      </c>
      <c r="HH165">
        <v>0</v>
      </c>
      <c r="HI165">
        <v>2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2</v>
      </c>
      <c r="IG165">
        <v>0</v>
      </c>
      <c r="IH165">
        <v>2</v>
      </c>
    </row>
    <row r="166" spans="1:242" x14ac:dyDescent="0.25">
      <c r="A166">
        <v>16142</v>
      </c>
      <c r="B166">
        <v>12</v>
      </c>
      <c r="C166">
        <v>7</v>
      </c>
      <c r="D166" t="s">
        <v>222</v>
      </c>
      <c r="E166" t="s">
        <v>223</v>
      </c>
      <c r="F166">
        <v>8</v>
      </c>
      <c r="G166">
        <v>28.61183333</v>
      </c>
      <c r="H166">
        <v>13.401</v>
      </c>
      <c r="I166">
        <v>20.562649310000001</v>
      </c>
      <c r="J166">
        <v>93.491666670000001</v>
      </c>
      <c r="K166">
        <v>37.366666670000001</v>
      </c>
      <c r="L166">
        <v>71.282192460000005</v>
      </c>
      <c r="M166">
        <v>14.406707519999999</v>
      </c>
      <c r="N166">
        <v>0.13900000000000001</v>
      </c>
      <c r="O166">
        <v>1.6</v>
      </c>
      <c r="P166" t="s">
        <v>217</v>
      </c>
      <c r="Q166" t="s">
        <v>217</v>
      </c>
      <c r="R166" t="s">
        <v>217</v>
      </c>
      <c r="S166" t="s">
        <v>217</v>
      </c>
      <c r="T166" t="s">
        <v>217</v>
      </c>
      <c r="U166" t="s">
        <v>217</v>
      </c>
      <c r="V166">
        <f t="shared" si="8"/>
        <v>24</v>
      </c>
      <c r="W166">
        <f t="shared" si="9"/>
        <v>85</v>
      </c>
      <c r="X166">
        <f t="shared" si="10"/>
        <v>3.4285714285714284</v>
      </c>
      <c r="Y166">
        <f t="shared" si="11"/>
        <v>12.142857142857142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1</v>
      </c>
      <c r="AL166" s="1">
        <v>0</v>
      </c>
      <c r="AM166" s="1">
        <v>5</v>
      </c>
      <c r="AN166" s="1">
        <v>1</v>
      </c>
      <c r="AO166" s="1">
        <v>0</v>
      </c>
      <c r="AP166" s="1">
        <v>0</v>
      </c>
      <c r="AQ166" s="1">
        <v>0</v>
      </c>
      <c r="AR166" s="1">
        <v>0</v>
      </c>
      <c r="AS166" s="1">
        <v>1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</v>
      </c>
      <c r="BG166" s="1">
        <v>1</v>
      </c>
      <c r="BH166" s="1">
        <v>0</v>
      </c>
      <c r="BI166" s="1">
        <v>0</v>
      </c>
      <c r="BJ166" s="1">
        <v>0</v>
      </c>
      <c r="BK166" s="1">
        <v>0</v>
      </c>
      <c r="BL166" s="1">
        <v>5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1</v>
      </c>
      <c r="BX166" s="1">
        <v>0</v>
      </c>
      <c r="BY166" s="1">
        <v>0</v>
      </c>
      <c r="BZ166" s="1">
        <v>10</v>
      </c>
      <c r="CA166" s="1">
        <v>1</v>
      </c>
      <c r="CB166" s="1">
        <v>0</v>
      </c>
      <c r="CC166" s="1">
        <v>0</v>
      </c>
      <c r="CD166" s="1">
        <v>11</v>
      </c>
      <c r="CE166" s="1">
        <v>0</v>
      </c>
      <c r="CF166" s="1">
        <v>0</v>
      </c>
      <c r="CG166" s="1">
        <v>3</v>
      </c>
      <c r="CH166" s="1">
        <v>0</v>
      </c>
      <c r="CI166" s="1">
        <v>11</v>
      </c>
      <c r="CJ166" s="1">
        <v>0</v>
      </c>
      <c r="CK166" s="1">
        <v>0</v>
      </c>
      <c r="CL166" s="1">
        <v>0</v>
      </c>
      <c r="CM166" s="1">
        <v>3</v>
      </c>
      <c r="CN166" s="1">
        <v>0</v>
      </c>
      <c r="CO166" s="1">
        <v>0</v>
      </c>
      <c r="CP166" s="1">
        <v>0</v>
      </c>
      <c r="CQ166" s="1">
        <v>0</v>
      </c>
      <c r="CR166" s="1">
        <v>1</v>
      </c>
      <c r="CS166" s="1">
        <v>0</v>
      </c>
      <c r="CT166" s="1">
        <v>0</v>
      </c>
      <c r="CU166" s="1">
        <v>0</v>
      </c>
      <c r="CV166" s="1">
        <v>14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4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3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2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2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1</v>
      </c>
      <c r="HF166">
        <v>1</v>
      </c>
      <c r="HG166">
        <v>0</v>
      </c>
      <c r="HH166">
        <v>0</v>
      </c>
      <c r="HI166">
        <v>1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</v>
      </c>
    </row>
    <row r="167" spans="1:242" x14ac:dyDescent="0.25">
      <c r="A167">
        <v>16147</v>
      </c>
      <c r="B167">
        <v>19</v>
      </c>
      <c r="C167">
        <v>7</v>
      </c>
      <c r="D167" t="s">
        <v>222</v>
      </c>
      <c r="E167" t="s">
        <v>223</v>
      </c>
      <c r="F167">
        <v>9</v>
      </c>
      <c r="G167">
        <v>27.83658333</v>
      </c>
      <c r="H167">
        <v>13.766</v>
      </c>
      <c r="I167">
        <v>19.956363100000001</v>
      </c>
      <c r="J167">
        <v>94.416666669999998</v>
      </c>
      <c r="K167">
        <v>39.758333329999999</v>
      </c>
      <c r="L167">
        <v>74.883134920000003</v>
      </c>
      <c r="M167">
        <v>14.40780885</v>
      </c>
      <c r="N167">
        <v>-0.20300000000000001</v>
      </c>
      <c r="O167">
        <v>1.93</v>
      </c>
      <c r="P167" t="s">
        <v>217</v>
      </c>
      <c r="Q167" t="s">
        <v>216</v>
      </c>
      <c r="R167" t="s">
        <v>216</v>
      </c>
      <c r="S167" t="s">
        <v>216</v>
      </c>
      <c r="T167" t="s">
        <v>216</v>
      </c>
      <c r="U167" t="s">
        <v>216</v>
      </c>
      <c r="V167">
        <f t="shared" si="8"/>
        <v>39</v>
      </c>
      <c r="W167">
        <f t="shared" si="9"/>
        <v>331</v>
      </c>
      <c r="X167">
        <f t="shared" si="10"/>
        <v>5.5714285714285712</v>
      </c>
      <c r="Y167">
        <f t="shared" si="11"/>
        <v>47.285714285714285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5</v>
      </c>
      <c r="AF167" s="1">
        <v>25</v>
      </c>
      <c r="AG167" s="1">
        <v>0</v>
      </c>
      <c r="AH167" s="1">
        <v>0</v>
      </c>
      <c r="AI167" s="1">
        <v>2</v>
      </c>
      <c r="AJ167" s="1">
        <v>0</v>
      </c>
      <c r="AK167" s="1">
        <v>0</v>
      </c>
      <c r="AL167" s="1">
        <v>0</v>
      </c>
      <c r="AM167" s="1">
        <v>18</v>
      </c>
      <c r="AN167" s="1">
        <v>3</v>
      </c>
      <c r="AO167" s="1">
        <v>0</v>
      </c>
      <c r="AP167" s="1">
        <v>1</v>
      </c>
      <c r="AQ167" s="1">
        <v>0</v>
      </c>
      <c r="AR167" s="1">
        <v>0</v>
      </c>
      <c r="AS167" s="1">
        <v>6</v>
      </c>
      <c r="AT167" s="1">
        <v>0</v>
      </c>
      <c r="AU167" s="1">
        <v>0</v>
      </c>
      <c r="AV167" s="1">
        <v>0</v>
      </c>
      <c r="AW167" s="1">
        <v>0</v>
      </c>
      <c r="AX167" s="1">
        <v>2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1</v>
      </c>
      <c r="BG167" s="1">
        <v>1</v>
      </c>
      <c r="BH167" s="1">
        <v>0</v>
      </c>
      <c r="BI167" s="1">
        <v>0</v>
      </c>
      <c r="BJ167" s="1">
        <v>0</v>
      </c>
      <c r="BK167" s="1">
        <v>0</v>
      </c>
      <c r="BL167" s="1">
        <v>5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1</v>
      </c>
      <c r="BX167" s="1">
        <v>0</v>
      </c>
      <c r="BY167" s="1">
        <v>0</v>
      </c>
      <c r="BZ167" s="1">
        <v>9</v>
      </c>
      <c r="CA167" s="1">
        <v>6</v>
      </c>
      <c r="CB167" s="1">
        <v>0</v>
      </c>
      <c r="CC167" s="1">
        <v>0</v>
      </c>
      <c r="CD167" s="1">
        <v>73</v>
      </c>
      <c r="CE167" s="1">
        <v>0</v>
      </c>
      <c r="CF167" s="1">
        <v>0</v>
      </c>
      <c r="CG167" s="1">
        <v>7</v>
      </c>
      <c r="CH167" s="1">
        <v>0</v>
      </c>
      <c r="CI167" s="1">
        <v>4</v>
      </c>
      <c r="CJ167" s="1">
        <v>0</v>
      </c>
      <c r="CK167" s="1">
        <v>0</v>
      </c>
      <c r="CL167" s="1">
        <v>0</v>
      </c>
      <c r="CM167" s="1">
        <v>2</v>
      </c>
      <c r="CN167" s="1">
        <v>0</v>
      </c>
      <c r="CO167" s="1">
        <v>0</v>
      </c>
      <c r="CP167" s="1">
        <v>0</v>
      </c>
      <c r="CQ167" s="1">
        <v>0</v>
      </c>
      <c r="CR167" s="1">
        <v>1</v>
      </c>
      <c r="CS167" s="1">
        <v>0</v>
      </c>
      <c r="CT167" s="1">
        <v>21</v>
      </c>
      <c r="CU167" s="1">
        <v>0</v>
      </c>
      <c r="CV167" s="1">
        <v>33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20</v>
      </c>
      <c r="DC167" s="1">
        <v>3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1</v>
      </c>
      <c r="DM167" s="1">
        <v>0</v>
      </c>
      <c r="DN167" s="1">
        <v>0</v>
      </c>
      <c r="DO167" s="1">
        <v>5</v>
      </c>
      <c r="DP167" s="1">
        <v>1</v>
      </c>
      <c r="DQ167" s="1">
        <v>0</v>
      </c>
      <c r="DR167" s="1">
        <v>0</v>
      </c>
      <c r="DS167" s="1">
        <v>0</v>
      </c>
      <c r="DT167" s="1">
        <v>0</v>
      </c>
      <c r="DU167" s="1">
        <v>1</v>
      </c>
      <c r="DV167" s="1">
        <v>0</v>
      </c>
      <c r="DW167" s="1">
        <v>0</v>
      </c>
      <c r="DX167" s="1">
        <v>0</v>
      </c>
      <c r="DY167" s="1">
        <v>0</v>
      </c>
      <c r="DZ167" s="1">
        <v>21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29</v>
      </c>
      <c r="EL167" s="1">
        <v>0</v>
      </c>
      <c r="EM167" s="1">
        <v>1</v>
      </c>
      <c r="EN167" s="1">
        <v>0</v>
      </c>
      <c r="EO167" s="1">
        <v>1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1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1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1</v>
      </c>
      <c r="GY167">
        <v>0</v>
      </c>
      <c r="GZ167">
        <v>1</v>
      </c>
      <c r="HA167">
        <v>0</v>
      </c>
      <c r="HB167">
        <v>0</v>
      </c>
      <c r="HC167">
        <v>0</v>
      </c>
      <c r="HD167">
        <v>3</v>
      </c>
      <c r="HE167">
        <v>1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2</v>
      </c>
      <c r="IG167">
        <v>0</v>
      </c>
      <c r="IH167">
        <v>12</v>
      </c>
    </row>
    <row r="168" spans="1:242" x14ac:dyDescent="0.25">
      <c r="A168">
        <v>16154</v>
      </c>
      <c r="B168">
        <v>8</v>
      </c>
      <c r="C168">
        <v>7</v>
      </c>
      <c r="D168" t="s">
        <v>222</v>
      </c>
      <c r="E168" t="s">
        <v>223</v>
      </c>
      <c r="F168">
        <v>9</v>
      </c>
      <c r="G168">
        <v>26.916333330000001</v>
      </c>
      <c r="H168">
        <v>14.289666670000001</v>
      </c>
      <c r="I168">
        <v>19.54405208</v>
      </c>
      <c r="J168">
        <v>94.466666669999995</v>
      </c>
      <c r="K168">
        <v>45.766666669999999</v>
      </c>
      <c r="L168">
        <v>75.865823410000004</v>
      </c>
      <c r="M168">
        <v>14.40522477</v>
      </c>
      <c r="N168">
        <v>-0.41499999999999998</v>
      </c>
      <c r="O168">
        <v>2.2999999999999998</v>
      </c>
      <c r="P168" t="s">
        <v>216</v>
      </c>
      <c r="Q168" t="s">
        <v>216</v>
      </c>
      <c r="R168" t="s">
        <v>217</v>
      </c>
      <c r="S168" t="s">
        <v>217</v>
      </c>
      <c r="T168" t="s">
        <v>217</v>
      </c>
      <c r="U168" t="s">
        <v>216</v>
      </c>
      <c r="V168">
        <f t="shared" si="8"/>
        <v>2</v>
      </c>
      <c r="W168">
        <f t="shared" si="9"/>
        <v>5</v>
      </c>
      <c r="X168">
        <f t="shared" si="10"/>
        <v>0.2857142857142857</v>
      </c>
      <c r="Y168">
        <f t="shared" si="11"/>
        <v>0.7142857142857143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1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4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</row>
    <row r="169" spans="1:242" x14ac:dyDescent="0.25">
      <c r="A169">
        <v>16161</v>
      </c>
      <c r="B169">
        <v>11</v>
      </c>
      <c r="C169">
        <v>5</v>
      </c>
      <c r="D169" t="s">
        <v>222</v>
      </c>
      <c r="E169" t="s">
        <v>223</v>
      </c>
      <c r="F169">
        <v>8</v>
      </c>
      <c r="G169">
        <v>28.89383333</v>
      </c>
      <c r="H169">
        <v>15.05533333</v>
      </c>
      <c r="I169">
        <v>20.64639683</v>
      </c>
      <c r="J169">
        <v>93.133333329999999</v>
      </c>
      <c r="K169">
        <v>35.216666670000002</v>
      </c>
      <c r="L169">
        <v>69.834325399999997</v>
      </c>
      <c r="M169">
        <v>14.409016210000001</v>
      </c>
      <c r="N169">
        <v>0.44</v>
      </c>
      <c r="O169">
        <v>1.59</v>
      </c>
      <c r="P169" t="s">
        <v>217</v>
      </c>
      <c r="Q169" t="s">
        <v>216</v>
      </c>
      <c r="R169" t="s">
        <v>217</v>
      </c>
      <c r="S169" t="s">
        <v>217</v>
      </c>
      <c r="T169" t="s">
        <v>217</v>
      </c>
      <c r="U169" t="s">
        <v>217</v>
      </c>
      <c r="V169">
        <f t="shared" si="8"/>
        <v>15</v>
      </c>
      <c r="W169">
        <f t="shared" si="9"/>
        <v>44</v>
      </c>
      <c r="X169">
        <f t="shared" si="10"/>
        <v>3</v>
      </c>
      <c r="Y169">
        <f t="shared" si="11"/>
        <v>8.8000000000000007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2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2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2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1</v>
      </c>
      <c r="CA169" s="1">
        <v>0</v>
      </c>
      <c r="CB169" s="1">
        <v>0</v>
      </c>
      <c r="CC169" s="1">
        <v>0</v>
      </c>
      <c r="CD169" s="1">
        <v>2</v>
      </c>
      <c r="CE169" s="1">
        <v>0</v>
      </c>
      <c r="CF169" s="1">
        <v>0</v>
      </c>
      <c r="CG169" s="1">
        <v>0</v>
      </c>
      <c r="CH169" s="1">
        <v>0</v>
      </c>
      <c r="CI169" s="1">
        <v>1</v>
      </c>
      <c r="CJ169" s="1">
        <v>0</v>
      </c>
      <c r="CK169" s="1">
        <v>0</v>
      </c>
      <c r="CL169" s="1">
        <v>0</v>
      </c>
      <c r="CM169" s="1">
        <v>0</v>
      </c>
      <c r="CN169" s="1">
        <v>1</v>
      </c>
      <c r="CO169" s="1">
        <v>6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18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1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3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1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2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1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</row>
    <row r="170" spans="1:242" x14ac:dyDescent="0.25">
      <c r="A170">
        <v>16166</v>
      </c>
      <c r="B170">
        <v>14</v>
      </c>
      <c r="C170">
        <v>7</v>
      </c>
      <c r="D170" t="s">
        <v>222</v>
      </c>
      <c r="E170" t="s">
        <v>223</v>
      </c>
      <c r="F170">
        <v>3</v>
      </c>
      <c r="G170">
        <v>29.329666670000002</v>
      </c>
      <c r="H170">
        <v>12.61391667</v>
      </c>
      <c r="I170">
        <v>20.101929349999999</v>
      </c>
      <c r="J170">
        <v>94.666666669999998</v>
      </c>
      <c r="K170">
        <v>29.508333329999999</v>
      </c>
      <c r="L170">
        <v>70.671400230000003</v>
      </c>
      <c r="M170">
        <v>14.40950112</v>
      </c>
      <c r="N170" s="8">
        <v>8.5000000000000006E-2</v>
      </c>
      <c r="O170">
        <v>1.1299999999999999</v>
      </c>
      <c r="P170" t="s">
        <v>217</v>
      </c>
      <c r="Q170" t="s">
        <v>217</v>
      </c>
      <c r="R170" t="s">
        <v>217</v>
      </c>
      <c r="S170" t="s">
        <v>216</v>
      </c>
      <c r="T170" t="s">
        <v>216</v>
      </c>
      <c r="U170" t="s">
        <v>217</v>
      </c>
      <c r="V170">
        <f t="shared" si="8"/>
        <v>31</v>
      </c>
      <c r="W170">
        <f t="shared" si="9"/>
        <v>176</v>
      </c>
      <c r="X170">
        <f t="shared" si="10"/>
        <v>4.4285714285714288</v>
      </c>
      <c r="Y170">
        <f t="shared" si="11"/>
        <v>25.142857142857142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2</v>
      </c>
      <c r="AF170" s="1">
        <v>20</v>
      </c>
      <c r="AG170" s="1">
        <v>0</v>
      </c>
      <c r="AH170" s="1">
        <v>1</v>
      </c>
      <c r="AI170" s="1">
        <v>0</v>
      </c>
      <c r="AJ170" s="1">
        <v>1</v>
      </c>
      <c r="AK170" s="1">
        <v>0</v>
      </c>
      <c r="AL170" s="1">
        <v>0</v>
      </c>
      <c r="AM170" s="1">
        <v>19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5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1</v>
      </c>
      <c r="BB170" s="1">
        <v>0</v>
      </c>
      <c r="BC170" s="1">
        <v>0</v>
      </c>
      <c r="BD170" s="1">
        <v>0</v>
      </c>
      <c r="BE170" s="1">
        <v>0</v>
      </c>
      <c r="BF170" s="1">
        <v>2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8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5</v>
      </c>
      <c r="CA170" s="1">
        <v>0</v>
      </c>
      <c r="CB170" s="1">
        <v>0</v>
      </c>
      <c r="CC170" s="1">
        <v>0</v>
      </c>
      <c r="CD170" s="1">
        <v>8</v>
      </c>
      <c r="CE170" s="1">
        <v>0</v>
      </c>
      <c r="CF170" s="1">
        <v>0</v>
      </c>
      <c r="CG170" s="1">
        <v>0</v>
      </c>
      <c r="CH170" s="1">
        <v>0</v>
      </c>
      <c r="CI170" s="1">
        <v>3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19</v>
      </c>
      <c r="CS170" s="1">
        <v>0</v>
      </c>
      <c r="CT170" s="1">
        <v>0</v>
      </c>
      <c r="CU170" s="1">
        <v>0</v>
      </c>
      <c r="CV170" s="1">
        <v>38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1</v>
      </c>
      <c r="DC170" s="1">
        <v>1</v>
      </c>
      <c r="DD170" s="1">
        <v>0</v>
      </c>
      <c r="DE170" s="1">
        <v>0</v>
      </c>
      <c r="DF170" s="1">
        <v>0</v>
      </c>
      <c r="DG170" s="1">
        <v>3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7</v>
      </c>
      <c r="EI170" s="1">
        <v>0</v>
      </c>
      <c r="EJ170" s="1">
        <v>0</v>
      </c>
      <c r="EK170" s="1">
        <v>9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2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1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2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1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3</v>
      </c>
      <c r="GI170" s="1">
        <v>1</v>
      </c>
      <c r="GJ170" s="1">
        <v>3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2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1</v>
      </c>
      <c r="HE170">
        <v>1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5</v>
      </c>
      <c r="IG170">
        <v>0</v>
      </c>
      <c r="IH170">
        <v>0</v>
      </c>
    </row>
    <row r="171" spans="1:242" x14ac:dyDescent="0.25">
      <c r="A171">
        <v>16170</v>
      </c>
      <c r="B171">
        <v>1</v>
      </c>
      <c r="C171">
        <v>7</v>
      </c>
      <c r="D171" t="s">
        <v>225</v>
      </c>
      <c r="E171" t="s">
        <v>223</v>
      </c>
      <c r="F171">
        <v>9</v>
      </c>
      <c r="G171">
        <v>33.716583329999999</v>
      </c>
      <c r="H171">
        <v>17.571583329999999</v>
      </c>
      <c r="I171">
        <v>23.505713289999999</v>
      </c>
      <c r="J171">
        <v>97.275000000000006</v>
      </c>
      <c r="K171">
        <v>35.241666670000001</v>
      </c>
      <c r="L171">
        <v>74.364781750000006</v>
      </c>
      <c r="M171">
        <v>14.255904429999999</v>
      </c>
      <c r="N171">
        <v>0.97399999999999998</v>
      </c>
      <c r="O171">
        <v>2.31</v>
      </c>
      <c r="P171" t="s">
        <v>216</v>
      </c>
      <c r="Q171" t="s">
        <v>216</v>
      </c>
      <c r="R171" t="s">
        <v>216</v>
      </c>
      <c r="S171" t="s">
        <v>216</v>
      </c>
      <c r="T171" t="s">
        <v>216</v>
      </c>
      <c r="U171" t="s">
        <v>216</v>
      </c>
      <c r="V171">
        <f t="shared" si="8"/>
        <v>32</v>
      </c>
      <c r="W171">
        <f t="shared" si="9"/>
        <v>169</v>
      </c>
      <c r="X171">
        <f t="shared" si="10"/>
        <v>4.5714285714285712</v>
      </c>
      <c r="Y171">
        <f t="shared" si="11"/>
        <v>24.142857142857142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4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6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3</v>
      </c>
      <c r="BH171" s="1">
        <v>0</v>
      </c>
      <c r="BI171" s="1">
        <v>0</v>
      </c>
      <c r="BJ171" s="1">
        <v>0</v>
      </c>
      <c r="BK171" s="1">
        <v>0</v>
      </c>
      <c r="BL171" s="1">
        <v>2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1</v>
      </c>
      <c r="BV171" s="1">
        <v>0</v>
      </c>
      <c r="BW171" s="1">
        <v>0</v>
      </c>
      <c r="BX171" s="1">
        <v>0</v>
      </c>
      <c r="BY171" s="1">
        <v>0</v>
      </c>
      <c r="BZ171" s="1">
        <v>3</v>
      </c>
      <c r="CA171" s="1">
        <v>4</v>
      </c>
      <c r="CB171" s="1">
        <v>0</v>
      </c>
      <c r="CC171" s="1">
        <v>0</v>
      </c>
      <c r="CD171" s="1">
        <v>1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2</v>
      </c>
      <c r="CS171" s="1">
        <v>0</v>
      </c>
      <c r="CT171" s="1">
        <v>1</v>
      </c>
      <c r="CU171" s="1">
        <v>0</v>
      </c>
      <c r="CV171" s="1">
        <v>12</v>
      </c>
      <c r="CW171" s="1">
        <v>1</v>
      </c>
      <c r="CX171" s="1">
        <v>0</v>
      </c>
      <c r="CY171" s="1">
        <v>0</v>
      </c>
      <c r="CZ171" s="1">
        <v>0</v>
      </c>
      <c r="DA171" s="1">
        <v>0</v>
      </c>
      <c r="DB171" s="1">
        <v>22</v>
      </c>
      <c r="DC171" s="1">
        <v>0</v>
      </c>
      <c r="DD171" s="1">
        <v>0</v>
      </c>
      <c r="DE171" s="1">
        <v>0</v>
      </c>
      <c r="DF171" s="1">
        <v>0</v>
      </c>
      <c r="DG171" s="1">
        <v>1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2</v>
      </c>
      <c r="DV171" s="1">
        <v>0</v>
      </c>
      <c r="DW171" s="1">
        <v>0</v>
      </c>
      <c r="DX171" s="1">
        <v>0</v>
      </c>
      <c r="DY171" s="1">
        <v>0</v>
      </c>
      <c r="DZ171" s="1">
        <v>3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11</v>
      </c>
      <c r="EL171" s="1">
        <v>0</v>
      </c>
      <c r="EM171" s="1">
        <v>0</v>
      </c>
      <c r="EN171" s="1">
        <v>0</v>
      </c>
      <c r="EO171" s="1">
        <v>1</v>
      </c>
      <c r="EP171" s="1">
        <v>0</v>
      </c>
      <c r="EQ171" s="1">
        <v>0</v>
      </c>
      <c r="ER171" s="1">
        <v>0</v>
      </c>
      <c r="ES171" s="1">
        <v>0</v>
      </c>
      <c r="ET171" s="1">
        <v>1</v>
      </c>
      <c r="EU171" s="1">
        <v>2</v>
      </c>
      <c r="EV171" s="1">
        <v>0</v>
      </c>
      <c r="EW171" s="1">
        <v>0</v>
      </c>
      <c r="EX171" s="1">
        <v>0</v>
      </c>
      <c r="EY171" s="1">
        <v>0</v>
      </c>
      <c r="EZ171" s="1">
        <v>32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1</v>
      </c>
      <c r="FM171" s="1">
        <v>41</v>
      </c>
      <c r="FN171" s="1">
        <v>0</v>
      </c>
      <c r="FO171" s="1">
        <v>0</v>
      </c>
      <c r="FP171" s="1">
        <v>0</v>
      </c>
      <c r="FQ171" s="1">
        <v>0</v>
      </c>
      <c r="FR171" s="1">
        <v>1</v>
      </c>
      <c r="FS171" s="1">
        <v>0</v>
      </c>
      <c r="FT171" s="1">
        <v>2</v>
      </c>
      <c r="FU171" s="1">
        <v>2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0</v>
      </c>
      <c r="HQ171">
        <v>0</v>
      </c>
      <c r="HR171">
        <v>0</v>
      </c>
      <c r="HS171">
        <v>1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</row>
    <row r="172" spans="1:242" x14ac:dyDescent="0.25">
      <c r="A172">
        <v>16172</v>
      </c>
      <c r="B172">
        <v>23</v>
      </c>
      <c r="C172">
        <v>7</v>
      </c>
      <c r="D172" t="s">
        <v>224</v>
      </c>
      <c r="E172" t="s">
        <v>220</v>
      </c>
      <c r="F172">
        <v>5</v>
      </c>
      <c r="G172">
        <v>36.534083330000001</v>
      </c>
      <c r="H172">
        <v>10.13841667</v>
      </c>
      <c r="I172">
        <v>20.153128970000001</v>
      </c>
      <c r="J172">
        <v>87.724999999999994</v>
      </c>
      <c r="K172">
        <v>11.44166667</v>
      </c>
      <c r="L172">
        <v>48.322966270000002</v>
      </c>
      <c r="M172">
        <v>13.98453589</v>
      </c>
      <c r="N172">
        <v>2.0299999999999998</v>
      </c>
      <c r="O172">
        <v>-1.48</v>
      </c>
      <c r="P172" t="s">
        <v>217</v>
      </c>
      <c r="Q172" t="s">
        <v>217</v>
      </c>
      <c r="R172" t="s">
        <v>216</v>
      </c>
      <c r="S172" t="s">
        <v>216</v>
      </c>
      <c r="T172" t="s">
        <v>216</v>
      </c>
      <c r="U172" t="s">
        <v>217</v>
      </c>
      <c r="V172">
        <f t="shared" si="8"/>
        <v>36</v>
      </c>
      <c r="W172">
        <f t="shared" si="9"/>
        <v>470</v>
      </c>
      <c r="X172">
        <f t="shared" si="10"/>
        <v>5.1428571428571432</v>
      </c>
      <c r="Y172">
        <f t="shared" si="11"/>
        <v>67.142857142857139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2</v>
      </c>
      <c r="AI172" s="1">
        <v>0</v>
      </c>
      <c r="AJ172" s="1">
        <v>0</v>
      </c>
      <c r="AK172" s="1">
        <v>0</v>
      </c>
      <c r="AL172" s="1">
        <v>0</v>
      </c>
      <c r="AM172" s="1">
        <v>297</v>
      </c>
      <c r="AN172" s="1">
        <v>0</v>
      </c>
      <c r="AO172" s="1">
        <v>0</v>
      </c>
      <c r="AP172" s="1">
        <v>5</v>
      </c>
      <c r="AQ172" s="1">
        <v>0</v>
      </c>
      <c r="AR172" s="1">
        <v>0</v>
      </c>
      <c r="AS172" s="1">
        <v>2</v>
      </c>
      <c r="AT172" s="1">
        <v>9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4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1</v>
      </c>
      <c r="BX172" s="1">
        <v>0</v>
      </c>
      <c r="BY172" s="1">
        <v>0</v>
      </c>
      <c r="BZ172" s="1">
        <v>21</v>
      </c>
      <c r="CA172" s="1">
        <v>6</v>
      </c>
      <c r="CB172" s="1">
        <v>0</v>
      </c>
      <c r="CC172" s="1">
        <v>0</v>
      </c>
      <c r="CD172" s="1">
        <v>26</v>
      </c>
      <c r="CE172" s="1">
        <v>0</v>
      </c>
      <c r="CF172" s="1">
        <v>0</v>
      </c>
      <c r="CG172" s="1">
        <v>8</v>
      </c>
      <c r="CH172" s="1">
        <v>0</v>
      </c>
      <c r="CI172" s="1">
        <v>1</v>
      </c>
      <c r="CJ172" s="1">
        <v>0</v>
      </c>
      <c r="CK172" s="1">
        <v>0</v>
      </c>
      <c r="CL172" s="1">
        <v>0</v>
      </c>
      <c r="CM172" s="1">
        <v>3</v>
      </c>
      <c r="CN172" s="1">
        <v>0</v>
      </c>
      <c r="CO172" s="1">
        <v>1</v>
      </c>
      <c r="CP172" s="1">
        <v>0</v>
      </c>
      <c r="CQ172" s="1">
        <v>0</v>
      </c>
      <c r="CR172" s="1">
        <v>2</v>
      </c>
      <c r="CS172" s="1">
        <v>0</v>
      </c>
      <c r="CT172" s="1">
        <v>0</v>
      </c>
      <c r="CU172" s="1">
        <v>0</v>
      </c>
      <c r="CV172" s="1">
        <v>10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3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8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6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1</v>
      </c>
      <c r="EI172" s="1">
        <v>0</v>
      </c>
      <c r="EJ172" s="1">
        <v>0</v>
      </c>
      <c r="EK172" s="1">
        <v>26</v>
      </c>
      <c r="EL172" s="1">
        <v>0</v>
      </c>
      <c r="EM172" s="1">
        <v>1</v>
      </c>
      <c r="EN172" s="1">
        <v>3</v>
      </c>
      <c r="EO172" s="1">
        <v>0</v>
      </c>
      <c r="EP172" s="1">
        <v>0</v>
      </c>
      <c r="EQ172" s="1">
        <v>0</v>
      </c>
      <c r="ER172" s="1">
        <v>4</v>
      </c>
      <c r="ES172" s="1">
        <v>0</v>
      </c>
      <c r="ET172" s="1">
        <v>0</v>
      </c>
      <c r="EU172" s="1">
        <v>3</v>
      </c>
      <c r="EV172" s="1">
        <v>0</v>
      </c>
      <c r="EW172" s="1">
        <v>0</v>
      </c>
      <c r="EX172" s="1">
        <v>0</v>
      </c>
      <c r="EY172" s="1">
        <v>0</v>
      </c>
      <c r="EZ172" s="1">
        <v>1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5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1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1</v>
      </c>
      <c r="GC172" s="1">
        <v>0</v>
      </c>
      <c r="GD172" s="1">
        <v>0</v>
      </c>
      <c r="GE172" s="1">
        <v>0</v>
      </c>
      <c r="GF172" s="1">
        <v>0</v>
      </c>
      <c r="GG172" s="1">
        <v>2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1</v>
      </c>
      <c r="HF172">
        <v>2</v>
      </c>
      <c r="HG172">
        <v>1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1</v>
      </c>
    </row>
    <row r="173" spans="1:242" x14ac:dyDescent="0.25">
      <c r="A173">
        <v>16176</v>
      </c>
      <c r="B173">
        <v>23</v>
      </c>
      <c r="C173">
        <v>7</v>
      </c>
      <c r="D173" t="s">
        <v>222</v>
      </c>
      <c r="E173" t="s">
        <v>223</v>
      </c>
      <c r="F173">
        <v>5</v>
      </c>
      <c r="G173">
        <v>30.62608333</v>
      </c>
      <c r="H173">
        <v>12.386583330000001</v>
      </c>
      <c r="I173">
        <v>20.547372020000001</v>
      </c>
      <c r="J173">
        <v>94.441666670000004</v>
      </c>
      <c r="K173">
        <v>31.266666669999999</v>
      </c>
      <c r="L173">
        <v>70.606597219999998</v>
      </c>
      <c r="M173">
        <v>14.412752640000001</v>
      </c>
      <c r="N173">
        <v>0.253</v>
      </c>
      <c r="O173">
        <v>1.19</v>
      </c>
      <c r="P173" t="s">
        <v>217</v>
      </c>
      <c r="Q173" t="s">
        <v>217</v>
      </c>
      <c r="R173" t="s">
        <v>216</v>
      </c>
      <c r="S173" t="s">
        <v>216</v>
      </c>
      <c r="T173" t="s">
        <v>216</v>
      </c>
      <c r="U173" t="s">
        <v>217</v>
      </c>
      <c r="V173">
        <f t="shared" si="8"/>
        <v>22</v>
      </c>
      <c r="W173">
        <f t="shared" si="9"/>
        <v>191</v>
      </c>
      <c r="X173">
        <f t="shared" si="10"/>
        <v>3.1428571428571428</v>
      </c>
      <c r="Y173">
        <f t="shared" si="11"/>
        <v>27.285714285714285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63</v>
      </c>
      <c r="AN173" s="1">
        <v>0</v>
      </c>
      <c r="AO173" s="1">
        <v>0</v>
      </c>
      <c r="AP173" s="1">
        <v>1</v>
      </c>
      <c r="AQ173" s="1">
        <v>0</v>
      </c>
      <c r="AR173" s="1">
        <v>0</v>
      </c>
      <c r="AS173" s="1">
        <v>1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1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2</v>
      </c>
      <c r="BM173" s="1">
        <v>2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9</v>
      </c>
      <c r="CA173" s="1">
        <v>2</v>
      </c>
      <c r="CB173" s="1">
        <v>0</v>
      </c>
      <c r="CC173" s="1">
        <v>0</v>
      </c>
      <c r="CD173" s="1">
        <v>17</v>
      </c>
      <c r="CE173" s="1">
        <v>0</v>
      </c>
      <c r="CF173" s="1">
        <v>0</v>
      </c>
      <c r="CG173" s="1">
        <v>34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5</v>
      </c>
      <c r="CU173" s="1">
        <v>0</v>
      </c>
      <c r="CV173" s="1">
        <v>6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7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6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3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25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1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2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1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</row>
    <row r="174" spans="1:242" x14ac:dyDescent="0.25">
      <c r="A174">
        <v>16183</v>
      </c>
      <c r="B174">
        <v>24</v>
      </c>
      <c r="C174">
        <v>7</v>
      </c>
      <c r="D174" t="s">
        <v>222</v>
      </c>
      <c r="E174" t="s">
        <v>223</v>
      </c>
      <c r="F174">
        <v>3</v>
      </c>
      <c r="G174">
        <v>36.459000000000003</v>
      </c>
      <c r="H174">
        <v>18.023499999999999</v>
      </c>
      <c r="I174">
        <v>25.128410219999999</v>
      </c>
      <c r="J174">
        <v>96.508333329999999</v>
      </c>
      <c r="K174">
        <v>25.95</v>
      </c>
      <c r="L174">
        <v>68.723462299999994</v>
      </c>
      <c r="M174">
        <v>14.41469777</v>
      </c>
      <c r="N174">
        <v>1.89</v>
      </c>
      <c r="O174">
        <v>1.72</v>
      </c>
      <c r="P174" t="s">
        <v>217</v>
      </c>
      <c r="Q174" t="s">
        <v>217</v>
      </c>
      <c r="R174" t="s">
        <v>217</v>
      </c>
      <c r="S174" t="s">
        <v>217</v>
      </c>
      <c r="T174" t="s">
        <v>217</v>
      </c>
      <c r="U174" t="s">
        <v>217</v>
      </c>
      <c r="V174">
        <f t="shared" si="8"/>
        <v>25</v>
      </c>
      <c r="W174">
        <f t="shared" si="9"/>
        <v>112</v>
      </c>
      <c r="X174">
        <f t="shared" si="10"/>
        <v>3.5714285714285716</v>
      </c>
      <c r="Y174">
        <f t="shared" si="11"/>
        <v>16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7</v>
      </c>
      <c r="AG174" s="1">
        <v>0</v>
      </c>
      <c r="AH174" s="1">
        <v>9</v>
      </c>
      <c r="AI174" s="1">
        <v>1</v>
      </c>
      <c r="AJ174" s="1">
        <v>0</v>
      </c>
      <c r="AK174" s="1">
        <v>0</v>
      </c>
      <c r="AL174" s="1">
        <v>0</v>
      </c>
      <c r="AM174" s="1">
        <v>17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6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1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10</v>
      </c>
      <c r="CA174" s="1">
        <v>4</v>
      </c>
      <c r="CB174" s="1">
        <v>0</v>
      </c>
      <c r="CC174" s="1">
        <v>0</v>
      </c>
      <c r="CD174" s="1">
        <v>4</v>
      </c>
      <c r="CE174" s="1">
        <v>0</v>
      </c>
      <c r="CF174" s="1">
        <v>0</v>
      </c>
      <c r="CG174" s="1">
        <v>8</v>
      </c>
      <c r="CH174" s="1">
        <v>0</v>
      </c>
      <c r="CI174" s="1">
        <v>1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5</v>
      </c>
      <c r="CS174" s="1">
        <v>0</v>
      </c>
      <c r="CT174" s="1">
        <v>1</v>
      </c>
      <c r="CU174" s="1">
        <v>0</v>
      </c>
      <c r="CV174" s="1">
        <v>10</v>
      </c>
      <c r="CW174" s="1">
        <v>1</v>
      </c>
      <c r="CX174" s="1">
        <v>0</v>
      </c>
      <c r="CY174" s="1">
        <v>0</v>
      </c>
      <c r="CZ174" s="1">
        <v>0</v>
      </c>
      <c r="DA174" s="1">
        <v>0</v>
      </c>
      <c r="DB174" s="1">
        <v>5</v>
      </c>
      <c r="DC174" s="1">
        <v>0</v>
      </c>
      <c r="DD174" s="1">
        <v>0</v>
      </c>
      <c r="DE174" s="1">
        <v>0</v>
      </c>
      <c r="DF174" s="1">
        <v>0</v>
      </c>
      <c r="DG174" s="1">
        <v>4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1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6</v>
      </c>
      <c r="EL174" s="1">
        <v>0</v>
      </c>
      <c r="EM174" s="1">
        <v>4</v>
      </c>
      <c r="EN174" s="1">
        <v>0</v>
      </c>
      <c r="EO174" s="1">
        <v>1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3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1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</row>
    <row r="175" spans="1:242" x14ac:dyDescent="0.25">
      <c r="A175">
        <v>16187</v>
      </c>
      <c r="B175">
        <v>24</v>
      </c>
      <c r="C175">
        <v>7</v>
      </c>
      <c r="D175" t="s">
        <v>225</v>
      </c>
      <c r="E175" t="s">
        <v>223</v>
      </c>
      <c r="F175">
        <v>3</v>
      </c>
      <c r="G175">
        <v>39.384333329999997</v>
      </c>
      <c r="H175">
        <v>21.71766667</v>
      </c>
      <c r="I175">
        <v>28.307185019999999</v>
      </c>
      <c r="J175">
        <v>95.566666670000004</v>
      </c>
      <c r="K175">
        <v>25.475000000000001</v>
      </c>
      <c r="L175">
        <v>63.152579369999998</v>
      </c>
      <c r="M175">
        <v>14.265807260000001</v>
      </c>
      <c r="N175">
        <v>3.16</v>
      </c>
      <c r="O175">
        <v>1.93</v>
      </c>
      <c r="P175" t="s">
        <v>217</v>
      </c>
      <c r="Q175" t="s">
        <v>217</v>
      </c>
      <c r="R175" t="s">
        <v>217</v>
      </c>
      <c r="S175" t="s">
        <v>217</v>
      </c>
      <c r="T175" t="s">
        <v>217</v>
      </c>
      <c r="U175" t="s">
        <v>217</v>
      </c>
      <c r="V175">
        <f t="shared" si="8"/>
        <v>19</v>
      </c>
      <c r="W175">
        <f t="shared" si="9"/>
        <v>91</v>
      </c>
      <c r="X175">
        <f t="shared" si="10"/>
        <v>2.7142857142857144</v>
      </c>
      <c r="Y175">
        <f t="shared" si="11"/>
        <v>13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4</v>
      </c>
      <c r="AI175" s="1">
        <v>0</v>
      </c>
      <c r="AJ175" s="1">
        <v>0</v>
      </c>
      <c r="AK175" s="1">
        <v>0</v>
      </c>
      <c r="AL175" s="1">
        <v>0</v>
      </c>
      <c r="AM175" s="1">
        <v>36</v>
      </c>
      <c r="AN175" s="1">
        <v>0</v>
      </c>
      <c r="AO175" s="1">
        <v>0</v>
      </c>
      <c r="AP175" s="1">
        <v>0</v>
      </c>
      <c r="AQ175" s="1">
        <v>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1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1</v>
      </c>
      <c r="BX175" s="1">
        <v>0</v>
      </c>
      <c r="BY175" s="1">
        <v>0</v>
      </c>
      <c r="BZ175" s="1">
        <v>15</v>
      </c>
      <c r="CA175" s="1">
        <v>1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7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3</v>
      </c>
      <c r="CS175" s="1">
        <v>0</v>
      </c>
      <c r="CT175" s="1">
        <v>0</v>
      </c>
      <c r="CU175" s="1">
        <v>0</v>
      </c>
      <c r="CV175" s="1">
        <v>2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7</v>
      </c>
      <c r="DC175" s="1">
        <v>0</v>
      </c>
      <c r="DD175" s="1">
        <v>0</v>
      </c>
      <c r="DE175" s="1">
        <v>0</v>
      </c>
      <c r="DF175" s="1">
        <v>0</v>
      </c>
      <c r="DG175" s="1">
        <v>3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2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1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1</v>
      </c>
      <c r="IG175">
        <v>0</v>
      </c>
      <c r="IH175">
        <v>3</v>
      </c>
    </row>
    <row r="176" spans="1:242" x14ac:dyDescent="0.25">
      <c r="A176">
        <v>16189</v>
      </c>
      <c r="B176">
        <v>7</v>
      </c>
      <c r="C176">
        <v>7</v>
      </c>
      <c r="D176" t="s">
        <v>226</v>
      </c>
      <c r="E176" t="s">
        <v>223</v>
      </c>
      <c r="F176">
        <v>3</v>
      </c>
      <c r="G176">
        <v>32.022166669999997</v>
      </c>
      <c r="H176">
        <v>15.85716667</v>
      </c>
      <c r="I176">
        <v>22.229845730000001</v>
      </c>
      <c r="J176">
        <v>94.2</v>
      </c>
      <c r="K176">
        <v>39.700000000000003</v>
      </c>
      <c r="L176">
        <v>73.720039679999999</v>
      </c>
      <c r="M176">
        <v>13.406424100000001</v>
      </c>
      <c r="N176">
        <v>0.57099999999999995</v>
      </c>
      <c r="O176">
        <v>1.96</v>
      </c>
      <c r="P176" t="s">
        <v>216</v>
      </c>
      <c r="Q176" t="s">
        <v>216</v>
      </c>
      <c r="R176" t="s">
        <v>217</v>
      </c>
      <c r="S176" t="s">
        <v>216</v>
      </c>
      <c r="T176" t="s">
        <v>216</v>
      </c>
      <c r="U176" t="s">
        <v>217</v>
      </c>
      <c r="V176">
        <f t="shared" si="8"/>
        <v>26</v>
      </c>
      <c r="W176">
        <f t="shared" si="9"/>
        <v>66</v>
      </c>
      <c r="X176">
        <f t="shared" si="10"/>
        <v>3.7142857142857144</v>
      </c>
      <c r="Y176">
        <f t="shared" si="11"/>
        <v>9.4285714285714288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1</v>
      </c>
      <c r="AF176" s="1">
        <v>0</v>
      </c>
      <c r="AG176" s="1">
        <v>0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M176" s="1">
        <v>4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2</v>
      </c>
      <c r="BM176" s="1">
        <v>2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1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2</v>
      </c>
      <c r="CA176" s="1">
        <v>0</v>
      </c>
      <c r="CB176" s="1">
        <v>0</v>
      </c>
      <c r="CC176" s="1">
        <v>0</v>
      </c>
      <c r="CD176" s="1">
        <v>3</v>
      </c>
      <c r="CE176" s="1">
        <v>0</v>
      </c>
      <c r="CF176" s="1">
        <v>0</v>
      </c>
      <c r="CG176" s="1">
        <v>4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1</v>
      </c>
      <c r="CN176" s="1">
        <v>0</v>
      </c>
      <c r="CO176" s="1">
        <v>0</v>
      </c>
      <c r="CP176" s="1">
        <v>0</v>
      </c>
      <c r="CQ176" s="1">
        <v>0</v>
      </c>
      <c r="CR176" s="1">
        <v>1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2</v>
      </c>
      <c r="DC176" s="1">
        <v>1</v>
      </c>
      <c r="DD176" s="1">
        <v>0</v>
      </c>
      <c r="DE176" s="1">
        <v>0</v>
      </c>
      <c r="DF176" s="1">
        <v>0</v>
      </c>
      <c r="DG176" s="1">
        <v>1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1</v>
      </c>
      <c r="DX176" s="1">
        <v>0</v>
      </c>
      <c r="DY176" s="1">
        <v>0</v>
      </c>
      <c r="DZ176" s="1">
        <v>4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4</v>
      </c>
      <c r="EI176" s="1">
        <v>0</v>
      </c>
      <c r="EJ176" s="1">
        <v>1</v>
      </c>
      <c r="EK176" s="1">
        <v>22</v>
      </c>
      <c r="EL176" s="1">
        <v>0</v>
      </c>
      <c r="EM176" s="1">
        <v>0</v>
      </c>
      <c r="EN176" s="1">
        <v>0</v>
      </c>
      <c r="EO176" s="1">
        <v>2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1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1</v>
      </c>
      <c r="IG176">
        <v>0</v>
      </c>
      <c r="IH176">
        <v>1</v>
      </c>
    </row>
    <row r="177" spans="1:242" x14ac:dyDescent="0.25">
      <c r="A177">
        <v>16193</v>
      </c>
      <c r="B177">
        <v>7</v>
      </c>
      <c r="C177">
        <v>7</v>
      </c>
      <c r="D177" t="s">
        <v>221</v>
      </c>
      <c r="E177" t="s">
        <v>220</v>
      </c>
      <c r="F177">
        <v>3</v>
      </c>
      <c r="G177">
        <v>34.204000000000001</v>
      </c>
      <c r="H177">
        <v>6.9100833330000002</v>
      </c>
      <c r="I177">
        <v>16.640902780000001</v>
      </c>
      <c r="J177">
        <v>96.558333329999996</v>
      </c>
      <c r="K177">
        <v>17.69166667</v>
      </c>
      <c r="L177">
        <v>58.531448410000003</v>
      </c>
      <c r="M177">
        <v>12.9347222</v>
      </c>
      <c r="N177">
        <v>-0.42299999999999999</v>
      </c>
      <c r="O177">
        <v>-1.05</v>
      </c>
      <c r="P177" t="s">
        <v>216</v>
      </c>
      <c r="Q177" t="s">
        <v>216</v>
      </c>
      <c r="R177" t="s">
        <v>217</v>
      </c>
      <c r="S177" t="s">
        <v>216</v>
      </c>
      <c r="T177" t="s">
        <v>216</v>
      </c>
      <c r="U177" t="s">
        <v>217</v>
      </c>
      <c r="V177">
        <f t="shared" si="8"/>
        <v>22</v>
      </c>
      <c r="W177">
        <f t="shared" si="9"/>
        <v>81</v>
      </c>
      <c r="X177">
        <f t="shared" si="10"/>
        <v>3.1428571428571428</v>
      </c>
      <c r="Y177">
        <f t="shared" si="11"/>
        <v>11.571428571428571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5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5</v>
      </c>
      <c r="AN177" s="1">
        <v>1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1</v>
      </c>
      <c r="BM177" s="1">
        <v>3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1</v>
      </c>
      <c r="CA177" s="1">
        <v>1</v>
      </c>
      <c r="CB177" s="1">
        <v>0</v>
      </c>
      <c r="CC177" s="1">
        <v>0</v>
      </c>
      <c r="CD177" s="1">
        <v>0</v>
      </c>
      <c r="CE177" s="1">
        <v>0</v>
      </c>
      <c r="CF177" s="1">
        <v>3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3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1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4</v>
      </c>
      <c r="EA177" s="1">
        <v>0</v>
      </c>
      <c r="EB177" s="1">
        <v>8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7</v>
      </c>
      <c r="EI177" s="1">
        <v>0</v>
      </c>
      <c r="EJ177" s="1">
        <v>0</v>
      </c>
      <c r="EK177" s="1">
        <v>19</v>
      </c>
      <c r="EL177" s="1">
        <v>0</v>
      </c>
      <c r="EM177" s="1">
        <v>4</v>
      </c>
      <c r="EN177" s="1">
        <v>0</v>
      </c>
      <c r="EO177" s="1">
        <v>2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4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5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0</v>
      </c>
      <c r="IH177">
        <v>1</v>
      </c>
    </row>
    <row r="178" spans="1:242" x14ac:dyDescent="0.25">
      <c r="A178">
        <v>16196</v>
      </c>
      <c r="B178">
        <v>17</v>
      </c>
      <c r="C178">
        <v>7</v>
      </c>
      <c r="D178" t="s">
        <v>222</v>
      </c>
      <c r="E178" t="s">
        <v>223</v>
      </c>
      <c r="F178">
        <v>6</v>
      </c>
      <c r="G178">
        <v>30.986999999999998</v>
      </c>
      <c r="H178">
        <v>12.085333329999999</v>
      </c>
      <c r="I178">
        <v>20.51626984</v>
      </c>
      <c r="J178">
        <v>94.974999999999994</v>
      </c>
      <c r="K178">
        <v>23.4</v>
      </c>
      <c r="L178">
        <v>67.988888889999998</v>
      </c>
      <c r="M178">
        <v>14.41676389</v>
      </c>
      <c r="N178">
        <v>0.38100000000000001</v>
      </c>
      <c r="O178">
        <v>0.68100000000000005</v>
      </c>
      <c r="P178" t="s">
        <v>216</v>
      </c>
      <c r="Q178" t="s">
        <v>217</v>
      </c>
      <c r="R178" t="s">
        <v>217</v>
      </c>
      <c r="S178" t="s">
        <v>217</v>
      </c>
      <c r="T178" t="s">
        <v>217</v>
      </c>
      <c r="U178" t="s">
        <v>216</v>
      </c>
      <c r="V178">
        <f t="shared" si="8"/>
        <v>30</v>
      </c>
      <c r="W178">
        <f t="shared" si="9"/>
        <v>218</v>
      </c>
      <c r="X178">
        <f t="shared" si="10"/>
        <v>4.2857142857142856</v>
      </c>
      <c r="Y178">
        <f t="shared" si="11"/>
        <v>31.142857142857142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3</v>
      </c>
      <c r="AF178" s="1">
        <v>0</v>
      </c>
      <c r="AG178" s="1">
        <v>0</v>
      </c>
      <c r="AH178" s="1">
        <v>2</v>
      </c>
      <c r="AI178" s="1">
        <v>0</v>
      </c>
      <c r="AJ178" s="1">
        <v>0</v>
      </c>
      <c r="AK178" s="1">
        <v>0</v>
      </c>
      <c r="AL178" s="1">
        <v>0</v>
      </c>
      <c r="AM178" s="1">
        <v>28</v>
      </c>
      <c r="AN178" s="1">
        <v>3</v>
      </c>
      <c r="AO178" s="1">
        <v>0</v>
      </c>
      <c r="AP178" s="1">
        <v>2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0</v>
      </c>
      <c r="AX178" s="1">
        <v>3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2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29</v>
      </c>
      <c r="CA178" s="1">
        <v>2</v>
      </c>
      <c r="CB178" s="1">
        <v>0</v>
      </c>
      <c r="CC178" s="1">
        <v>0</v>
      </c>
      <c r="CD178" s="1">
        <v>12</v>
      </c>
      <c r="CE178" s="1">
        <v>0</v>
      </c>
      <c r="CF178" s="1">
        <v>0</v>
      </c>
      <c r="CG178" s="1">
        <v>45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3</v>
      </c>
      <c r="CS178" s="1">
        <v>0</v>
      </c>
      <c r="CT178" s="1">
        <v>1</v>
      </c>
      <c r="CU178" s="1">
        <v>0</v>
      </c>
      <c r="CV178" s="1">
        <v>7</v>
      </c>
      <c r="CW178" s="1">
        <v>6</v>
      </c>
      <c r="CX178" s="1">
        <v>0</v>
      </c>
      <c r="CY178" s="1">
        <v>0</v>
      </c>
      <c r="CZ178" s="1">
        <v>0</v>
      </c>
      <c r="DA178" s="1">
        <v>0</v>
      </c>
      <c r="DB178" s="1">
        <v>21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1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3</v>
      </c>
      <c r="EI178" s="1">
        <v>0</v>
      </c>
      <c r="EJ178" s="1">
        <v>0</v>
      </c>
      <c r="EK178" s="1">
        <v>0</v>
      </c>
      <c r="EL178" s="1">
        <v>24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2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4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6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1</v>
      </c>
      <c r="GC178" s="1">
        <v>0</v>
      </c>
      <c r="GD178" s="1">
        <v>0</v>
      </c>
      <c r="GE178" s="1">
        <v>1</v>
      </c>
      <c r="GF178" s="1">
        <v>0</v>
      </c>
      <c r="GG178" s="1">
        <v>0</v>
      </c>
      <c r="GH178" s="1">
        <v>1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1</v>
      </c>
      <c r="IG178">
        <v>0</v>
      </c>
      <c r="IH178">
        <v>2</v>
      </c>
    </row>
    <row r="179" spans="1:242" x14ac:dyDescent="0.25">
      <c r="A179">
        <v>16200</v>
      </c>
      <c r="B179">
        <v>17</v>
      </c>
      <c r="C179">
        <v>7</v>
      </c>
      <c r="D179" t="s">
        <v>225</v>
      </c>
      <c r="E179" t="s">
        <v>223</v>
      </c>
      <c r="F179">
        <v>6</v>
      </c>
      <c r="G179">
        <v>34.579083330000003</v>
      </c>
      <c r="H179">
        <v>16.224666670000001</v>
      </c>
      <c r="I179">
        <v>24.669851189999999</v>
      </c>
      <c r="J179">
        <v>93.516666670000006</v>
      </c>
      <c r="K179">
        <v>25.991666670000001</v>
      </c>
      <c r="L179">
        <v>64.006001979999994</v>
      </c>
      <c r="M179">
        <v>14.26773339</v>
      </c>
      <c r="N179">
        <v>1.86</v>
      </c>
      <c r="O179">
        <v>1.17</v>
      </c>
      <c r="P179" t="s">
        <v>216</v>
      </c>
      <c r="Q179" t="s">
        <v>217</v>
      </c>
      <c r="R179" t="s">
        <v>217</v>
      </c>
      <c r="S179" t="s">
        <v>217</v>
      </c>
      <c r="T179" t="s">
        <v>217</v>
      </c>
      <c r="U179" t="s">
        <v>216</v>
      </c>
      <c r="V179">
        <f t="shared" si="8"/>
        <v>37</v>
      </c>
      <c r="W179">
        <f t="shared" si="9"/>
        <v>333</v>
      </c>
      <c r="X179">
        <f t="shared" si="10"/>
        <v>5.2857142857142856</v>
      </c>
      <c r="Y179">
        <f t="shared" si="11"/>
        <v>47.571428571428569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8</v>
      </c>
      <c r="AF179" s="1">
        <v>0</v>
      </c>
      <c r="AG179" s="1">
        <v>0</v>
      </c>
      <c r="AH179" s="1">
        <v>1</v>
      </c>
      <c r="AI179" s="1">
        <v>1</v>
      </c>
      <c r="AJ179" s="1">
        <v>0</v>
      </c>
      <c r="AK179" s="1">
        <v>0</v>
      </c>
      <c r="AL179" s="1">
        <v>0</v>
      </c>
      <c r="AM179" s="1">
        <v>57</v>
      </c>
      <c r="AN179" s="1">
        <v>3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3</v>
      </c>
      <c r="AU179" s="1">
        <v>0</v>
      </c>
      <c r="AV179" s="1">
        <v>0</v>
      </c>
      <c r="AW179" s="1">
        <v>0</v>
      </c>
      <c r="AX179" s="1">
        <v>1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</v>
      </c>
      <c r="BG179" s="1">
        <v>0</v>
      </c>
      <c r="BH179" s="1">
        <v>0</v>
      </c>
      <c r="BI179" s="1">
        <v>1</v>
      </c>
      <c r="BJ179" s="1">
        <v>0</v>
      </c>
      <c r="BK179" s="1">
        <v>0</v>
      </c>
      <c r="BL179" s="1">
        <v>4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10</v>
      </c>
      <c r="CA179" s="1">
        <v>1</v>
      </c>
      <c r="CB179" s="1">
        <v>0</v>
      </c>
      <c r="CC179" s="1">
        <v>0</v>
      </c>
      <c r="CD179" s="1">
        <v>10</v>
      </c>
      <c r="CE179" s="1">
        <v>0</v>
      </c>
      <c r="CF179" s="1">
        <v>0</v>
      </c>
      <c r="CG179" s="1">
        <v>122</v>
      </c>
      <c r="CH179" s="1">
        <v>0</v>
      </c>
      <c r="CI179" s="1">
        <v>1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2</v>
      </c>
      <c r="CP179" s="1">
        <v>0</v>
      </c>
      <c r="CQ179" s="1">
        <v>0</v>
      </c>
      <c r="CR179" s="1">
        <v>3</v>
      </c>
      <c r="CS179" s="1">
        <v>0</v>
      </c>
      <c r="CT179" s="1">
        <v>1</v>
      </c>
      <c r="CU179" s="1">
        <v>0</v>
      </c>
      <c r="CV179" s="1">
        <v>1</v>
      </c>
      <c r="CW179" s="1">
        <v>3</v>
      </c>
      <c r="CX179" s="1">
        <v>0</v>
      </c>
      <c r="CY179" s="1">
        <v>0</v>
      </c>
      <c r="CZ179" s="1">
        <v>0</v>
      </c>
      <c r="DA179" s="1">
        <v>0</v>
      </c>
      <c r="DB179" s="1">
        <v>37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2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1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2</v>
      </c>
      <c r="EI179" s="1">
        <v>0</v>
      </c>
      <c r="EJ179" s="1">
        <v>0</v>
      </c>
      <c r="EK179" s="1">
        <v>30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3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3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6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5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1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>
        <v>0</v>
      </c>
      <c r="GT179">
        <v>0</v>
      </c>
      <c r="GU179">
        <v>0</v>
      </c>
      <c r="GV179">
        <v>1</v>
      </c>
      <c r="GW179">
        <v>0</v>
      </c>
      <c r="GX179">
        <v>2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1</v>
      </c>
      <c r="HE179">
        <v>2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1</v>
      </c>
    </row>
    <row r="180" spans="1:242" x14ac:dyDescent="0.25">
      <c r="A180">
        <v>16202</v>
      </c>
      <c r="B180">
        <v>31</v>
      </c>
      <c r="C180">
        <v>7</v>
      </c>
      <c r="D180" t="s">
        <v>222</v>
      </c>
      <c r="E180" t="s">
        <v>223</v>
      </c>
      <c r="F180">
        <v>4</v>
      </c>
      <c r="G180">
        <v>28.983166669999999</v>
      </c>
      <c r="H180">
        <v>13.51341667</v>
      </c>
      <c r="I180">
        <v>19.568865079999998</v>
      </c>
      <c r="J180">
        <v>95.758333329999999</v>
      </c>
      <c r="K180">
        <v>28.716666669999999</v>
      </c>
      <c r="L180">
        <v>72.191418650000003</v>
      </c>
      <c r="M180">
        <v>14.41171344</v>
      </c>
      <c r="N180" s="8">
        <v>-7.1199999999999999E-2</v>
      </c>
      <c r="O180">
        <v>1.27</v>
      </c>
      <c r="P180" t="s">
        <v>217</v>
      </c>
      <c r="Q180" t="s">
        <v>216</v>
      </c>
      <c r="R180" t="s">
        <v>217</v>
      </c>
      <c r="S180" t="s">
        <v>216</v>
      </c>
      <c r="T180" t="s">
        <v>216</v>
      </c>
      <c r="U180" t="s">
        <v>217</v>
      </c>
      <c r="V180">
        <f t="shared" si="8"/>
        <v>41</v>
      </c>
      <c r="W180">
        <f t="shared" si="9"/>
        <v>176</v>
      </c>
      <c r="X180">
        <f t="shared" si="10"/>
        <v>5.8571428571428568</v>
      </c>
      <c r="Y180">
        <f t="shared" si="11"/>
        <v>25.142857142857142</v>
      </c>
      <c r="Z180" s="1">
        <v>0</v>
      </c>
      <c r="AA180" s="1">
        <v>2</v>
      </c>
      <c r="AB180" s="1">
        <v>0</v>
      </c>
      <c r="AC180" s="1">
        <v>0</v>
      </c>
      <c r="AD180" s="1">
        <v>0</v>
      </c>
      <c r="AE180" s="1">
        <v>2</v>
      </c>
      <c r="AF180" s="1">
        <v>0</v>
      </c>
      <c r="AG180" s="1">
        <v>0</v>
      </c>
      <c r="AH180" s="1">
        <v>4</v>
      </c>
      <c r="AI180" s="1">
        <v>0</v>
      </c>
      <c r="AJ180" s="1">
        <v>2</v>
      </c>
      <c r="AK180" s="1">
        <v>0</v>
      </c>
      <c r="AL180" s="1">
        <v>0</v>
      </c>
      <c r="AM180" s="1">
        <v>28</v>
      </c>
      <c r="AN180" s="1">
        <v>10</v>
      </c>
      <c r="AO180" s="1">
        <v>0</v>
      </c>
      <c r="AP180" s="1">
        <v>2</v>
      </c>
      <c r="AQ180" s="1">
        <v>0</v>
      </c>
      <c r="AR180" s="1">
        <v>0</v>
      </c>
      <c r="AS180" s="1">
        <v>1</v>
      </c>
      <c r="AT180" s="1">
        <v>6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3</v>
      </c>
      <c r="BG180" s="1">
        <v>3</v>
      </c>
      <c r="BH180" s="1">
        <v>0</v>
      </c>
      <c r="BI180" s="1">
        <v>0</v>
      </c>
      <c r="BJ180" s="1">
        <v>0</v>
      </c>
      <c r="BK180" s="1">
        <v>0</v>
      </c>
      <c r="BL180" s="1">
        <v>3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2</v>
      </c>
      <c r="BU180" s="1">
        <v>0</v>
      </c>
      <c r="BV180" s="1">
        <v>0</v>
      </c>
      <c r="BW180" s="1">
        <v>2</v>
      </c>
      <c r="BX180" s="1">
        <v>0</v>
      </c>
      <c r="BY180" s="1">
        <v>0</v>
      </c>
      <c r="BZ180" s="1">
        <v>3</v>
      </c>
      <c r="CA180" s="1">
        <v>5</v>
      </c>
      <c r="CB180" s="1">
        <v>0</v>
      </c>
      <c r="CC180" s="1">
        <v>0</v>
      </c>
      <c r="CD180" s="1">
        <v>7</v>
      </c>
      <c r="CE180" s="1">
        <v>0</v>
      </c>
      <c r="CF180" s="1">
        <v>0</v>
      </c>
      <c r="CG180" s="1">
        <v>2</v>
      </c>
      <c r="CH180" s="1">
        <v>0</v>
      </c>
      <c r="CI180" s="1">
        <v>2</v>
      </c>
      <c r="CJ180" s="1">
        <v>0</v>
      </c>
      <c r="CK180" s="1">
        <v>0</v>
      </c>
      <c r="CL180" s="1">
        <v>0</v>
      </c>
      <c r="CM180" s="1">
        <v>2</v>
      </c>
      <c r="CN180" s="1">
        <v>0</v>
      </c>
      <c r="CO180" s="1">
        <v>0</v>
      </c>
      <c r="CP180" s="1">
        <v>0</v>
      </c>
      <c r="CQ180" s="1">
        <v>0</v>
      </c>
      <c r="CR180" s="1">
        <v>6</v>
      </c>
      <c r="CS180" s="1">
        <v>0</v>
      </c>
      <c r="CT180" s="1">
        <v>0</v>
      </c>
      <c r="CU180" s="1">
        <v>0</v>
      </c>
      <c r="CV180" s="1">
        <v>15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8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14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6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2</v>
      </c>
      <c r="EI180" s="1">
        <v>0</v>
      </c>
      <c r="EJ180" s="1">
        <v>0</v>
      </c>
      <c r="EK180" s="1">
        <v>9</v>
      </c>
      <c r="EL180" s="1">
        <v>0</v>
      </c>
      <c r="EM180" s="1">
        <v>1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1</v>
      </c>
      <c r="EV180" s="1">
        <v>0</v>
      </c>
      <c r="EW180" s="1">
        <v>0</v>
      </c>
      <c r="EX180" s="1">
        <v>0</v>
      </c>
      <c r="EY180" s="1">
        <v>0</v>
      </c>
      <c r="EZ180" s="1">
        <v>2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4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1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1</v>
      </c>
      <c r="HG180">
        <v>0</v>
      </c>
      <c r="HH180">
        <v>6</v>
      </c>
      <c r="HI180">
        <v>0</v>
      </c>
      <c r="HJ180">
        <v>0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1</v>
      </c>
      <c r="IC180">
        <v>0</v>
      </c>
      <c r="ID180">
        <v>0</v>
      </c>
      <c r="IE180">
        <v>1</v>
      </c>
      <c r="IF180">
        <v>3</v>
      </c>
      <c r="IG180">
        <v>0</v>
      </c>
      <c r="IH180">
        <v>1</v>
      </c>
    </row>
    <row r="181" spans="1:242" x14ac:dyDescent="0.25">
      <c r="A181">
        <v>16206</v>
      </c>
      <c r="B181">
        <v>31</v>
      </c>
      <c r="C181">
        <v>7</v>
      </c>
      <c r="D181" t="s">
        <v>225</v>
      </c>
      <c r="E181" t="s">
        <v>223</v>
      </c>
      <c r="F181">
        <v>4</v>
      </c>
      <c r="G181">
        <v>33.637583329999998</v>
      </c>
      <c r="H181">
        <v>16.68933333</v>
      </c>
      <c r="I181">
        <v>23.874341269999999</v>
      </c>
      <c r="J181">
        <v>94.058333329999996</v>
      </c>
      <c r="K181">
        <v>29.93333333</v>
      </c>
      <c r="L181">
        <v>67.50039683</v>
      </c>
      <c r="M181">
        <v>14.2630251</v>
      </c>
      <c r="N181">
        <v>1.51</v>
      </c>
      <c r="O181">
        <v>1.55</v>
      </c>
      <c r="P181" t="s">
        <v>217</v>
      </c>
      <c r="Q181" t="s">
        <v>216</v>
      </c>
      <c r="R181" t="s">
        <v>217</v>
      </c>
      <c r="S181" t="s">
        <v>216</v>
      </c>
      <c r="T181" t="s">
        <v>216</v>
      </c>
      <c r="U181" t="s">
        <v>217</v>
      </c>
      <c r="V181">
        <f t="shared" si="8"/>
        <v>27</v>
      </c>
      <c r="W181">
        <f t="shared" si="9"/>
        <v>86</v>
      </c>
      <c r="X181">
        <f t="shared" si="10"/>
        <v>3.8571428571428572</v>
      </c>
      <c r="Y181">
        <f t="shared" si="11"/>
        <v>12.285714285714286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5</v>
      </c>
      <c r="AF181" s="1">
        <v>2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13</v>
      </c>
      <c r="AN181" s="1">
        <v>4</v>
      </c>
      <c r="AO181" s="1">
        <v>0</v>
      </c>
      <c r="AP181" s="1">
        <v>1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1</v>
      </c>
      <c r="BC181" s="1">
        <v>0</v>
      </c>
      <c r="BD181" s="1">
        <v>0</v>
      </c>
      <c r="BE181" s="1">
        <v>0</v>
      </c>
      <c r="BF181" s="1">
        <v>1</v>
      </c>
      <c r="BG181" s="1">
        <v>4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1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2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2</v>
      </c>
      <c r="CH181" s="1">
        <v>1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3</v>
      </c>
      <c r="CS181" s="1">
        <v>0</v>
      </c>
      <c r="CT181" s="1">
        <v>0</v>
      </c>
      <c r="CU181" s="1">
        <v>0</v>
      </c>
      <c r="CV181" s="1">
        <v>6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1</v>
      </c>
      <c r="DD181" s="1">
        <v>0</v>
      </c>
      <c r="DE181" s="1">
        <v>0</v>
      </c>
      <c r="DF181" s="1">
        <v>0</v>
      </c>
      <c r="DG181" s="1">
        <v>1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1</v>
      </c>
      <c r="DP181" s="1">
        <v>0</v>
      </c>
      <c r="DQ181" s="1">
        <v>0</v>
      </c>
      <c r="DR181" s="1">
        <v>0</v>
      </c>
      <c r="DS181" s="1">
        <v>2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5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1</v>
      </c>
      <c r="EI181" s="1">
        <v>0</v>
      </c>
      <c r="EJ181" s="1">
        <v>0</v>
      </c>
      <c r="EK181" s="1">
        <v>10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2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11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3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1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1</v>
      </c>
    </row>
    <row r="182" spans="1:242" x14ac:dyDescent="0.25">
      <c r="A182">
        <v>16207</v>
      </c>
      <c r="B182">
        <v>13</v>
      </c>
      <c r="C182">
        <v>7</v>
      </c>
      <c r="D182" t="s">
        <v>222</v>
      </c>
      <c r="E182" t="s">
        <v>223</v>
      </c>
      <c r="F182">
        <v>1</v>
      </c>
      <c r="G182">
        <v>29.440416670000001</v>
      </c>
      <c r="H182">
        <v>11.34166667</v>
      </c>
      <c r="I182">
        <v>19.381750499999999</v>
      </c>
      <c r="J182">
        <v>96.583333330000002</v>
      </c>
      <c r="K182">
        <v>25.533333330000001</v>
      </c>
      <c r="L182">
        <v>71.210416670000001</v>
      </c>
      <c r="M182">
        <v>14.41589323</v>
      </c>
      <c r="N182">
        <v>-0.26900000000000002</v>
      </c>
      <c r="O182">
        <v>0.873</v>
      </c>
      <c r="P182" t="s">
        <v>217</v>
      </c>
      <c r="Q182" t="s">
        <v>217</v>
      </c>
      <c r="R182" t="s">
        <v>217</v>
      </c>
      <c r="S182" t="s">
        <v>216</v>
      </c>
      <c r="T182" t="s">
        <v>216</v>
      </c>
      <c r="U182" t="s">
        <v>217</v>
      </c>
      <c r="V182">
        <f t="shared" si="8"/>
        <v>43</v>
      </c>
      <c r="W182">
        <f t="shared" si="9"/>
        <v>285</v>
      </c>
      <c r="X182">
        <f t="shared" si="10"/>
        <v>6.1428571428571432</v>
      </c>
      <c r="Y182">
        <f t="shared" si="11"/>
        <v>40.714285714285715</v>
      </c>
      <c r="Z182" s="1">
        <v>1</v>
      </c>
      <c r="AA182" s="1">
        <v>0</v>
      </c>
      <c r="AB182" s="1">
        <v>3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28</v>
      </c>
      <c r="AN182" s="1">
        <v>3</v>
      </c>
      <c r="AO182" s="1">
        <v>0</v>
      </c>
      <c r="AP182" s="1">
        <v>7</v>
      </c>
      <c r="AQ182" s="1">
        <v>0</v>
      </c>
      <c r="AR182" s="1">
        <v>0</v>
      </c>
      <c r="AS182" s="1">
        <v>0</v>
      </c>
      <c r="AT182" s="1">
        <v>2</v>
      </c>
      <c r="AU182" s="1">
        <v>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1</v>
      </c>
      <c r="BB182" s="1">
        <v>1</v>
      </c>
      <c r="BC182" s="1">
        <v>0</v>
      </c>
      <c r="BD182" s="1">
        <v>0</v>
      </c>
      <c r="BE182" s="1">
        <v>0</v>
      </c>
      <c r="BF182" s="1">
        <v>8</v>
      </c>
      <c r="BG182" s="1">
        <v>1</v>
      </c>
      <c r="BH182" s="1">
        <v>0</v>
      </c>
      <c r="BI182" s="1">
        <v>0</v>
      </c>
      <c r="BJ182" s="1">
        <v>0</v>
      </c>
      <c r="BK182" s="1">
        <v>0</v>
      </c>
      <c r="BL182" s="1">
        <v>4</v>
      </c>
      <c r="BM182" s="1">
        <v>1</v>
      </c>
      <c r="BN182" s="1">
        <v>0</v>
      </c>
      <c r="BO182" s="1">
        <v>1</v>
      </c>
      <c r="BP182" s="1">
        <v>0</v>
      </c>
      <c r="BQ182" s="1">
        <v>0</v>
      </c>
      <c r="BR182" s="1">
        <v>0</v>
      </c>
      <c r="BS182" s="1">
        <v>0</v>
      </c>
      <c r="BT182" s="1">
        <v>7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24</v>
      </c>
      <c r="CA182" s="1">
        <v>0</v>
      </c>
      <c r="CB182" s="1">
        <v>0</v>
      </c>
      <c r="CC182" s="1">
        <v>0</v>
      </c>
      <c r="CD182" s="1">
        <v>5</v>
      </c>
      <c r="CE182" s="1">
        <v>0</v>
      </c>
      <c r="CF182" s="1">
        <v>0</v>
      </c>
      <c r="CG182" s="1">
        <v>1</v>
      </c>
      <c r="CH182" s="1">
        <v>52</v>
      </c>
      <c r="CI182" s="1">
        <v>9</v>
      </c>
      <c r="CJ182" s="1">
        <v>0</v>
      </c>
      <c r="CK182" s="1">
        <v>0</v>
      </c>
      <c r="CL182" s="1">
        <v>0</v>
      </c>
      <c r="CM182" s="1">
        <v>1</v>
      </c>
      <c r="CN182" s="1">
        <v>0</v>
      </c>
      <c r="CO182" s="1">
        <v>0</v>
      </c>
      <c r="CP182" s="1">
        <v>0</v>
      </c>
      <c r="CQ182" s="1">
        <v>0</v>
      </c>
      <c r="CR182" s="1">
        <v>15</v>
      </c>
      <c r="CS182" s="1">
        <v>0</v>
      </c>
      <c r="CT182" s="1">
        <v>0</v>
      </c>
      <c r="CU182" s="1">
        <v>0</v>
      </c>
      <c r="CV182" s="1">
        <v>66</v>
      </c>
      <c r="CW182" s="1">
        <v>0</v>
      </c>
      <c r="CX182" s="1">
        <v>0</v>
      </c>
      <c r="CY182" s="1">
        <v>1</v>
      </c>
      <c r="CZ182" s="1">
        <v>0</v>
      </c>
      <c r="DA182" s="1">
        <v>0</v>
      </c>
      <c r="DB182" s="1">
        <v>3</v>
      </c>
      <c r="DC182" s="1">
        <v>0</v>
      </c>
      <c r="DD182" s="1">
        <v>1</v>
      </c>
      <c r="DE182" s="1">
        <v>0</v>
      </c>
      <c r="DF182" s="1">
        <v>0</v>
      </c>
      <c r="DG182" s="1">
        <v>3</v>
      </c>
      <c r="DH182" s="1">
        <v>0</v>
      </c>
      <c r="DI182" s="1">
        <v>0</v>
      </c>
      <c r="DJ182" s="1">
        <v>0</v>
      </c>
      <c r="DK182" s="1">
        <v>0</v>
      </c>
      <c r="DL182" s="1">
        <v>1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3</v>
      </c>
      <c r="DS182" s="1">
        <v>3</v>
      </c>
      <c r="DT182" s="1">
        <v>1</v>
      </c>
      <c r="DU182" s="1">
        <v>0</v>
      </c>
      <c r="DV182" s="1">
        <v>0</v>
      </c>
      <c r="DW182" s="1">
        <v>1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3</v>
      </c>
      <c r="EI182" s="1">
        <v>0</v>
      </c>
      <c r="EJ182" s="1">
        <v>0</v>
      </c>
      <c r="EK182" s="1">
        <v>6</v>
      </c>
      <c r="EL182" s="1">
        <v>0</v>
      </c>
      <c r="EM182" s="1">
        <v>0</v>
      </c>
      <c r="EN182" s="1">
        <v>0</v>
      </c>
      <c r="EO182" s="1">
        <v>1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3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1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1</v>
      </c>
      <c r="GJ182" s="1">
        <v>2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3</v>
      </c>
      <c r="IG182">
        <v>0</v>
      </c>
      <c r="IH182">
        <v>4</v>
      </c>
    </row>
    <row r="183" spans="1:242" x14ac:dyDescent="0.25">
      <c r="A183">
        <v>16211</v>
      </c>
      <c r="B183">
        <v>13</v>
      </c>
      <c r="C183">
        <v>7</v>
      </c>
      <c r="D183" t="s">
        <v>225</v>
      </c>
      <c r="E183" t="s">
        <v>223</v>
      </c>
      <c r="F183">
        <v>1</v>
      </c>
      <c r="G183">
        <v>33.497583329999998</v>
      </c>
      <c r="H183">
        <v>15.28425</v>
      </c>
      <c r="I183">
        <v>23.831856649999999</v>
      </c>
      <c r="J183">
        <v>96.174999999999997</v>
      </c>
      <c r="K183">
        <v>29.716666669999999</v>
      </c>
      <c r="L183">
        <v>65.314980160000005</v>
      </c>
      <c r="M183">
        <v>14.266921719999999</v>
      </c>
      <c r="N183">
        <v>1.2</v>
      </c>
      <c r="O183">
        <v>1.4</v>
      </c>
      <c r="P183" t="s">
        <v>217</v>
      </c>
      <c r="Q183" t="s">
        <v>217</v>
      </c>
      <c r="R183" t="s">
        <v>217</v>
      </c>
      <c r="S183" t="s">
        <v>216</v>
      </c>
      <c r="T183" t="s">
        <v>216</v>
      </c>
      <c r="U183" t="s">
        <v>217</v>
      </c>
      <c r="V183">
        <f t="shared" si="8"/>
        <v>48</v>
      </c>
      <c r="W183">
        <f t="shared" si="9"/>
        <v>294</v>
      </c>
      <c r="X183">
        <f t="shared" si="10"/>
        <v>6.8571428571428568</v>
      </c>
      <c r="Y183">
        <f t="shared" si="11"/>
        <v>42</v>
      </c>
      <c r="Z183" s="1">
        <v>4</v>
      </c>
      <c r="AA183" s="1">
        <v>0</v>
      </c>
      <c r="AB183" s="1">
        <v>0</v>
      </c>
      <c r="AC183" s="1">
        <v>0</v>
      </c>
      <c r="AD183" s="1">
        <v>2</v>
      </c>
      <c r="AE183" s="1">
        <v>3</v>
      </c>
      <c r="AF183" s="1">
        <v>2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12</v>
      </c>
      <c r="AN183" s="1">
        <v>2</v>
      </c>
      <c r="AO183" s="1">
        <v>0</v>
      </c>
      <c r="AP183" s="1">
        <v>2</v>
      </c>
      <c r="AQ183" s="1">
        <v>0</v>
      </c>
      <c r="AR183" s="1">
        <v>1</v>
      </c>
      <c r="AS183" s="1">
        <v>0</v>
      </c>
      <c r="AT183" s="1">
        <v>2</v>
      </c>
      <c r="AU183" s="1">
        <v>2</v>
      </c>
      <c r="AV183" s="1">
        <v>0</v>
      </c>
      <c r="AW183" s="1">
        <v>0</v>
      </c>
      <c r="AX183" s="1">
        <v>1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3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3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2</v>
      </c>
      <c r="BT183" s="1">
        <v>7</v>
      </c>
      <c r="BU183" s="1">
        <v>0</v>
      </c>
      <c r="BV183" s="1">
        <v>0</v>
      </c>
      <c r="BW183" s="1">
        <v>0</v>
      </c>
      <c r="BX183" s="1">
        <v>0</v>
      </c>
      <c r="BY183" s="1">
        <v>3</v>
      </c>
      <c r="BZ183" s="1">
        <v>20</v>
      </c>
      <c r="CA183" s="1">
        <v>0</v>
      </c>
      <c r="CB183" s="1">
        <v>0</v>
      </c>
      <c r="CC183" s="1">
        <v>0</v>
      </c>
      <c r="CD183" s="1">
        <v>3</v>
      </c>
      <c r="CE183" s="1">
        <v>0</v>
      </c>
      <c r="CF183" s="1">
        <v>1</v>
      </c>
      <c r="CG183" s="1">
        <v>1</v>
      </c>
      <c r="CH183" s="1">
        <v>76</v>
      </c>
      <c r="CI183" s="1">
        <v>2</v>
      </c>
      <c r="CJ183" s="1">
        <v>17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48</v>
      </c>
      <c r="CW183" s="1">
        <v>3</v>
      </c>
      <c r="CX183" s="1">
        <v>0</v>
      </c>
      <c r="CY183" s="1">
        <v>0</v>
      </c>
      <c r="CZ183" s="1">
        <v>0</v>
      </c>
      <c r="DA183" s="1">
        <v>0</v>
      </c>
      <c r="DB183" s="1">
        <v>4</v>
      </c>
      <c r="DC183" s="1">
        <v>1</v>
      </c>
      <c r="DD183" s="1">
        <v>1</v>
      </c>
      <c r="DE183" s="1">
        <v>1</v>
      </c>
      <c r="DF183" s="1">
        <v>0</v>
      </c>
      <c r="DG183" s="1">
        <v>1</v>
      </c>
      <c r="DH183" s="1">
        <v>0</v>
      </c>
      <c r="DI183" s="1">
        <v>0</v>
      </c>
      <c r="DJ183" s="1">
        <v>0</v>
      </c>
      <c r="DK183" s="1">
        <v>8</v>
      </c>
      <c r="DL183" s="1">
        <v>0</v>
      </c>
      <c r="DM183" s="1">
        <v>3</v>
      </c>
      <c r="DN183" s="1">
        <v>0</v>
      </c>
      <c r="DO183" s="1">
        <v>0</v>
      </c>
      <c r="DP183" s="1">
        <v>1</v>
      </c>
      <c r="DQ183" s="1">
        <v>1</v>
      </c>
      <c r="DR183" s="1">
        <v>3</v>
      </c>
      <c r="DS183" s="1">
        <v>2</v>
      </c>
      <c r="DT183" s="1">
        <v>1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4</v>
      </c>
      <c r="EI183" s="1">
        <v>0</v>
      </c>
      <c r="EJ183" s="1">
        <v>0</v>
      </c>
      <c r="EK183" s="1">
        <v>8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2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11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2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9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1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2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3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1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2</v>
      </c>
    </row>
    <row r="184" spans="1:242" x14ac:dyDescent="0.25">
      <c r="A184">
        <v>16213</v>
      </c>
      <c r="B184">
        <v>21</v>
      </c>
      <c r="C184">
        <v>7</v>
      </c>
      <c r="D184" t="s">
        <v>222</v>
      </c>
      <c r="E184" t="s">
        <v>223</v>
      </c>
      <c r="F184">
        <v>5</v>
      </c>
      <c r="G184">
        <v>31.08591667</v>
      </c>
      <c r="H184">
        <v>14.016</v>
      </c>
      <c r="I184">
        <v>21.124996530000001</v>
      </c>
      <c r="J184">
        <v>91.85</v>
      </c>
      <c r="K184">
        <v>17.925000000000001</v>
      </c>
      <c r="L184">
        <v>66.777529759999993</v>
      </c>
      <c r="M184">
        <v>14.41775335</v>
      </c>
      <c r="N184">
        <v>1.08</v>
      </c>
      <c r="O184">
        <v>0.45200000000000001</v>
      </c>
      <c r="P184" t="s">
        <v>217</v>
      </c>
      <c r="Q184" t="s">
        <v>217</v>
      </c>
      <c r="R184" t="s">
        <v>217</v>
      </c>
      <c r="S184" t="s">
        <v>217</v>
      </c>
      <c r="T184" t="s">
        <v>217</v>
      </c>
      <c r="U184" t="s">
        <v>217</v>
      </c>
      <c r="V184">
        <f t="shared" si="8"/>
        <v>3</v>
      </c>
      <c r="W184">
        <f t="shared" si="9"/>
        <v>20</v>
      </c>
      <c r="X184">
        <f t="shared" si="10"/>
        <v>0.42857142857142855</v>
      </c>
      <c r="Y184">
        <f t="shared" si="11"/>
        <v>2.8571428571428572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18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1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1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</row>
    <row r="185" spans="1:242" x14ac:dyDescent="0.25">
      <c r="A185">
        <v>16217</v>
      </c>
      <c r="B185">
        <v>21</v>
      </c>
      <c r="C185">
        <v>7</v>
      </c>
      <c r="D185" t="s">
        <v>225</v>
      </c>
      <c r="E185" t="s">
        <v>223</v>
      </c>
      <c r="F185">
        <v>5</v>
      </c>
      <c r="G185">
        <v>34.947083329999998</v>
      </c>
      <c r="H185">
        <v>17.611249999999998</v>
      </c>
      <c r="I185">
        <v>25.368488589999998</v>
      </c>
      <c r="J185">
        <v>90.474999999999994</v>
      </c>
      <c r="K185">
        <v>23.375</v>
      </c>
      <c r="L185">
        <v>62.360962299999997</v>
      </c>
      <c r="M185">
        <v>14.26865579</v>
      </c>
      <c r="N185">
        <v>2.5099999999999998</v>
      </c>
      <c r="O185">
        <v>1.01</v>
      </c>
      <c r="P185" t="s">
        <v>217</v>
      </c>
      <c r="Q185" t="s">
        <v>217</v>
      </c>
      <c r="R185" t="s">
        <v>217</v>
      </c>
      <c r="S185" t="s">
        <v>217</v>
      </c>
      <c r="T185" t="s">
        <v>217</v>
      </c>
      <c r="U185" t="s">
        <v>217</v>
      </c>
      <c r="V185">
        <f t="shared" si="8"/>
        <v>6</v>
      </c>
      <c r="W185">
        <f t="shared" si="9"/>
        <v>62</v>
      </c>
      <c r="X185">
        <f t="shared" si="10"/>
        <v>0.8571428571428571</v>
      </c>
      <c r="Y185">
        <f t="shared" si="11"/>
        <v>8.8571428571428577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35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1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1</v>
      </c>
      <c r="CS185" s="1">
        <v>0</v>
      </c>
      <c r="CT185" s="1">
        <v>0</v>
      </c>
      <c r="CU185" s="1">
        <v>0</v>
      </c>
      <c r="CV185" s="1">
        <v>19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1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</row>
    <row r="186" spans="1:242" x14ac:dyDescent="0.25">
      <c r="A186">
        <v>16222</v>
      </c>
      <c r="B186">
        <v>27</v>
      </c>
      <c r="C186">
        <v>7</v>
      </c>
      <c r="D186" t="s">
        <v>225</v>
      </c>
      <c r="E186" t="s">
        <v>223</v>
      </c>
      <c r="F186">
        <v>3</v>
      </c>
      <c r="G186">
        <v>32.4315</v>
      </c>
      <c r="H186">
        <v>17.526166669999999</v>
      </c>
      <c r="I186">
        <v>23.502716270000001</v>
      </c>
      <c r="J186">
        <v>91.808333329999996</v>
      </c>
      <c r="K186">
        <v>31.4</v>
      </c>
      <c r="L186">
        <v>69.024454370000001</v>
      </c>
      <c r="M186">
        <v>14.26374687</v>
      </c>
      <c r="N186">
        <v>1.59</v>
      </c>
      <c r="O186">
        <v>1.66</v>
      </c>
      <c r="P186" t="s">
        <v>217</v>
      </c>
      <c r="Q186" t="s">
        <v>217</v>
      </c>
      <c r="R186" t="s">
        <v>217</v>
      </c>
      <c r="S186" t="s">
        <v>217</v>
      </c>
      <c r="T186" t="s">
        <v>217</v>
      </c>
      <c r="U186" t="s">
        <v>216</v>
      </c>
      <c r="V186">
        <f t="shared" si="8"/>
        <v>12</v>
      </c>
      <c r="W186">
        <f t="shared" si="9"/>
        <v>165</v>
      </c>
      <c r="X186">
        <f t="shared" si="10"/>
        <v>1.7142857142857142</v>
      </c>
      <c r="Y186">
        <f t="shared" si="11"/>
        <v>23.571428571428573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1</v>
      </c>
      <c r="AL186" s="1">
        <v>0</v>
      </c>
      <c r="AM186" s="1">
        <v>54</v>
      </c>
      <c r="AN186" s="1">
        <v>0</v>
      </c>
      <c r="AO186" s="1">
        <v>0</v>
      </c>
      <c r="AP186" s="1">
        <v>0</v>
      </c>
      <c r="AQ186" s="1">
        <v>0</v>
      </c>
      <c r="AR186" s="1">
        <v>1</v>
      </c>
      <c r="AS186" s="1">
        <v>0</v>
      </c>
      <c r="AT186" s="1">
        <v>3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1</v>
      </c>
      <c r="BZ186" s="1">
        <v>1</v>
      </c>
      <c r="CA186" s="1">
        <v>0</v>
      </c>
      <c r="CB186" s="1">
        <v>0</v>
      </c>
      <c r="CC186" s="1">
        <v>0</v>
      </c>
      <c r="CD186" s="1">
        <v>89</v>
      </c>
      <c r="CE186" s="1">
        <v>0</v>
      </c>
      <c r="CF186" s="1">
        <v>0</v>
      </c>
      <c r="CG186" s="1">
        <v>0</v>
      </c>
      <c r="CH186" s="1">
        <v>0</v>
      </c>
      <c r="CI186" s="1">
        <v>1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11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1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1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1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</row>
    <row r="187" spans="1:242" x14ac:dyDescent="0.25">
      <c r="A187">
        <v>16227</v>
      </c>
      <c r="B187">
        <v>9</v>
      </c>
      <c r="C187">
        <v>7</v>
      </c>
      <c r="D187" t="s">
        <v>225</v>
      </c>
      <c r="E187" t="s">
        <v>223</v>
      </c>
      <c r="F187">
        <v>5</v>
      </c>
      <c r="G187">
        <v>32.689916670000002</v>
      </c>
      <c r="H187">
        <v>18.643666670000002</v>
      </c>
      <c r="I187">
        <v>24.328721229999999</v>
      </c>
      <c r="J187">
        <v>89.933333329999996</v>
      </c>
      <c r="K187">
        <v>31.93333333</v>
      </c>
      <c r="L187">
        <v>67.950644839999995</v>
      </c>
      <c r="M187">
        <v>14.26302592</v>
      </c>
      <c r="N187">
        <v>2.04</v>
      </c>
      <c r="O187">
        <v>1.71</v>
      </c>
      <c r="P187" t="s">
        <v>217</v>
      </c>
      <c r="Q187" t="s">
        <v>217</v>
      </c>
      <c r="R187" t="s">
        <v>216</v>
      </c>
      <c r="S187" t="s">
        <v>217</v>
      </c>
      <c r="T187" t="s">
        <v>217</v>
      </c>
      <c r="U187" t="s">
        <v>216</v>
      </c>
      <c r="V187">
        <f t="shared" si="8"/>
        <v>1</v>
      </c>
      <c r="W187">
        <f t="shared" si="9"/>
        <v>1</v>
      </c>
      <c r="X187">
        <f t="shared" si="10"/>
        <v>0.14285714285714285</v>
      </c>
      <c r="Y187">
        <f t="shared" si="11"/>
        <v>0.14285714285714285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1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</row>
    <row r="188" spans="1:242" x14ac:dyDescent="0.25">
      <c r="A188">
        <v>16229</v>
      </c>
      <c r="B188">
        <v>29</v>
      </c>
      <c r="C188">
        <v>7</v>
      </c>
      <c r="D188" t="s">
        <v>222</v>
      </c>
      <c r="E188" t="s">
        <v>223</v>
      </c>
      <c r="F188">
        <v>3</v>
      </c>
      <c r="G188">
        <v>32.888666669999999</v>
      </c>
      <c r="H188">
        <v>13.439166670000001</v>
      </c>
      <c r="I188">
        <v>20.768766200000002</v>
      </c>
      <c r="J188">
        <v>94.825000000000003</v>
      </c>
      <c r="K188">
        <v>22.858333330000001</v>
      </c>
      <c r="L188">
        <v>67.155555559999996</v>
      </c>
      <c r="M188">
        <v>14.41352296</v>
      </c>
      <c r="N188">
        <v>0.77900000000000003</v>
      </c>
      <c r="O188">
        <v>0.73399999999999999</v>
      </c>
      <c r="P188" t="s">
        <v>217</v>
      </c>
      <c r="Q188" t="s">
        <v>217</v>
      </c>
      <c r="R188" t="s">
        <v>217</v>
      </c>
      <c r="S188" t="s">
        <v>217</v>
      </c>
      <c r="T188" t="s">
        <v>217</v>
      </c>
      <c r="U188" t="s">
        <v>217</v>
      </c>
      <c r="V188">
        <f t="shared" si="8"/>
        <v>37</v>
      </c>
      <c r="W188">
        <f t="shared" si="9"/>
        <v>313</v>
      </c>
      <c r="X188">
        <f t="shared" si="10"/>
        <v>5.2857142857142856</v>
      </c>
      <c r="Y188">
        <f t="shared" si="11"/>
        <v>44.714285714285715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2</v>
      </c>
      <c r="AF188" s="1">
        <v>0</v>
      </c>
      <c r="AG188" s="1">
        <v>0</v>
      </c>
      <c r="AH188" s="1">
        <v>11</v>
      </c>
      <c r="AI188" s="1">
        <v>0</v>
      </c>
      <c r="AJ188" s="1">
        <v>0</v>
      </c>
      <c r="AK188" s="1">
        <v>0</v>
      </c>
      <c r="AL188" s="1">
        <v>0</v>
      </c>
      <c r="AM188" s="1">
        <v>12</v>
      </c>
      <c r="AN188" s="1">
        <v>0</v>
      </c>
      <c r="AO188" s="1">
        <v>0</v>
      </c>
      <c r="AP188" s="1">
        <v>1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7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2</v>
      </c>
      <c r="BF188" s="1">
        <v>2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7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1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12</v>
      </c>
      <c r="CA188" s="1">
        <v>0</v>
      </c>
      <c r="CB188" s="1">
        <v>0</v>
      </c>
      <c r="CC188" s="1">
        <v>0</v>
      </c>
      <c r="CD188" s="1">
        <v>2</v>
      </c>
      <c r="CE188" s="1">
        <v>0</v>
      </c>
      <c r="CF188" s="1">
        <v>0</v>
      </c>
      <c r="CG188" s="1">
        <v>3</v>
      </c>
      <c r="CH188" s="1">
        <v>2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18</v>
      </c>
      <c r="CS188" s="1">
        <v>0</v>
      </c>
      <c r="CT188" s="1">
        <v>0</v>
      </c>
      <c r="CU188" s="1">
        <v>0</v>
      </c>
      <c r="CV188" s="1">
        <v>10</v>
      </c>
      <c r="CW188" s="1">
        <v>1</v>
      </c>
      <c r="CX188" s="1">
        <v>0</v>
      </c>
      <c r="CY188" s="1">
        <v>0</v>
      </c>
      <c r="CZ188" s="1">
        <v>0</v>
      </c>
      <c r="DA188" s="1">
        <v>0</v>
      </c>
      <c r="DB188" s="1">
        <v>2</v>
      </c>
      <c r="DC188" s="1">
        <v>0</v>
      </c>
      <c r="DD188" s="1">
        <v>0</v>
      </c>
      <c r="DE188" s="1">
        <v>0</v>
      </c>
      <c r="DF188" s="1">
        <v>0</v>
      </c>
      <c r="DG188" s="1">
        <v>15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1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1</v>
      </c>
      <c r="DV188" s="1">
        <v>0</v>
      </c>
      <c r="DW188" s="1">
        <v>0</v>
      </c>
      <c r="DX188" s="1">
        <v>0</v>
      </c>
      <c r="DY188" s="1">
        <v>0</v>
      </c>
      <c r="DZ188" s="1">
        <v>94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9</v>
      </c>
      <c r="EI188" s="1">
        <v>0</v>
      </c>
      <c r="EJ188" s="1">
        <v>1</v>
      </c>
      <c r="EK188" s="1">
        <v>21</v>
      </c>
      <c r="EL188" s="1">
        <v>0</v>
      </c>
      <c r="EM188" s="1">
        <v>3</v>
      </c>
      <c r="EN188" s="1">
        <v>1</v>
      </c>
      <c r="EO188" s="1">
        <v>4</v>
      </c>
      <c r="EP188" s="1">
        <v>0</v>
      </c>
      <c r="EQ188" s="1">
        <v>0</v>
      </c>
      <c r="ER188" s="1">
        <v>10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4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2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1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1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1</v>
      </c>
      <c r="HF188">
        <v>36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9</v>
      </c>
      <c r="IG188">
        <v>0</v>
      </c>
      <c r="IH188">
        <v>3</v>
      </c>
    </row>
    <row r="189" spans="1:242" x14ac:dyDescent="0.25">
      <c r="A189">
        <v>16233</v>
      </c>
      <c r="B189">
        <v>29</v>
      </c>
      <c r="C189">
        <v>7</v>
      </c>
      <c r="D189" t="s">
        <v>225</v>
      </c>
      <c r="E189" t="s">
        <v>223</v>
      </c>
      <c r="F189">
        <v>3</v>
      </c>
      <c r="G189">
        <v>36.820333329999997</v>
      </c>
      <c r="H189">
        <v>16.9055</v>
      </c>
      <c r="I189">
        <v>24.89480704</v>
      </c>
      <c r="J189">
        <v>92.983333329999994</v>
      </c>
      <c r="K189">
        <v>24.216666669999999</v>
      </c>
      <c r="L189">
        <v>63.050446430000001</v>
      </c>
      <c r="M189">
        <v>14.26471205</v>
      </c>
      <c r="N189">
        <v>2.29</v>
      </c>
      <c r="O189">
        <v>1.07</v>
      </c>
      <c r="P189" t="s">
        <v>217</v>
      </c>
      <c r="Q189" t="s">
        <v>217</v>
      </c>
      <c r="R189" t="s">
        <v>217</v>
      </c>
      <c r="S189" t="s">
        <v>217</v>
      </c>
      <c r="T189" t="s">
        <v>217</v>
      </c>
      <c r="U189" t="s">
        <v>217</v>
      </c>
      <c r="V189">
        <f t="shared" si="8"/>
        <v>27</v>
      </c>
      <c r="W189">
        <f t="shared" si="9"/>
        <v>386</v>
      </c>
      <c r="X189">
        <f t="shared" si="10"/>
        <v>3.8571428571428572</v>
      </c>
      <c r="Y189">
        <f t="shared" si="11"/>
        <v>55.142857142857146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0</v>
      </c>
      <c r="AM189" s="1">
        <v>6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18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3</v>
      </c>
      <c r="BM189" s="1">
        <v>0</v>
      </c>
      <c r="BN189" s="1">
        <v>0</v>
      </c>
      <c r="BO189" s="1">
        <v>1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6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4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17</v>
      </c>
      <c r="CS189" s="1">
        <v>0</v>
      </c>
      <c r="CT189" s="1">
        <v>0</v>
      </c>
      <c r="CU189" s="1">
        <v>0</v>
      </c>
      <c r="CV189" s="1">
        <v>3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7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182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27</v>
      </c>
      <c r="EI189" s="1">
        <v>0</v>
      </c>
      <c r="EJ189" s="1">
        <v>0</v>
      </c>
      <c r="EK189" s="1">
        <v>39</v>
      </c>
      <c r="EL189" s="1">
        <v>0</v>
      </c>
      <c r="EM189" s="1">
        <v>0</v>
      </c>
      <c r="EN189" s="1">
        <v>2</v>
      </c>
      <c r="EO189" s="1">
        <v>1</v>
      </c>
      <c r="EP189" s="1">
        <v>0</v>
      </c>
      <c r="EQ189" s="1">
        <v>0</v>
      </c>
      <c r="ER189" s="1">
        <v>36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16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1</v>
      </c>
      <c r="FK189" s="1">
        <v>0</v>
      </c>
      <c r="FL189" s="1">
        <v>0</v>
      </c>
      <c r="FM189" s="1">
        <v>1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1</v>
      </c>
      <c r="GI189" s="1">
        <v>0</v>
      </c>
      <c r="GJ189" s="1">
        <v>3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2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4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2</v>
      </c>
      <c r="IG189">
        <v>0</v>
      </c>
      <c r="IH189">
        <v>1</v>
      </c>
    </row>
    <row r="190" spans="1:242" x14ac:dyDescent="0.25">
      <c r="A190">
        <v>16235</v>
      </c>
      <c r="B190">
        <v>30</v>
      </c>
      <c r="C190">
        <v>7</v>
      </c>
      <c r="D190" t="s">
        <v>222</v>
      </c>
      <c r="E190" t="s">
        <v>223</v>
      </c>
      <c r="F190">
        <v>3</v>
      </c>
      <c r="G190">
        <v>29.81966667</v>
      </c>
      <c r="H190">
        <v>13.738</v>
      </c>
      <c r="I190">
        <v>20.03842113</v>
      </c>
      <c r="J190">
        <v>96</v>
      </c>
      <c r="K190">
        <v>23.616666670000001</v>
      </c>
      <c r="L190">
        <v>69.288938490000007</v>
      </c>
      <c r="M190">
        <v>14.413746829999999</v>
      </c>
      <c r="N190">
        <v>0.218</v>
      </c>
      <c r="O190">
        <v>0.95199999999999996</v>
      </c>
      <c r="P190" t="s">
        <v>217</v>
      </c>
      <c r="Q190" t="s">
        <v>217</v>
      </c>
      <c r="R190" t="s">
        <v>217</v>
      </c>
      <c r="S190" t="s">
        <v>216</v>
      </c>
      <c r="T190" t="s">
        <v>217</v>
      </c>
      <c r="U190" t="s">
        <v>217</v>
      </c>
      <c r="V190">
        <f t="shared" si="8"/>
        <v>43</v>
      </c>
      <c r="W190">
        <f t="shared" si="9"/>
        <v>704</v>
      </c>
      <c r="X190">
        <f t="shared" si="10"/>
        <v>6.1428571428571432</v>
      </c>
      <c r="Y190">
        <f t="shared" si="11"/>
        <v>100.57142857142857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1</v>
      </c>
      <c r="AF190" s="1">
        <v>4</v>
      </c>
      <c r="AG190" s="1">
        <v>0</v>
      </c>
      <c r="AH190" s="1">
        <v>4</v>
      </c>
      <c r="AI190" s="1">
        <v>0</v>
      </c>
      <c r="AJ190" s="1">
        <v>1</v>
      </c>
      <c r="AK190" s="1">
        <v>1</v>
      </c>
      <c r="AL190" s="1">
        <v>0</v>
      </c>
      <c r="AM190" s="1">
        <v>184</v>
      </c>
      <c r="AN190" s="1">
        <v>0</v>
      </c>
      <c r="AO190" s="1">
        <v>0</v>
      </c>
      <c r="AP190" s="1">
        <v>2</v>
      </c>
      <c r="AQ190" s="1">
        <v>0</v>
      </c>
      <c r="AR190" s="1">
        <v>0</v>
      </c>
      <c r="AS190" s="1">
        <v>1</v>
      </c>
      <c r="AT190" s="1">
        <v>3</v>
      </c>
      <c r="AU190" s="1">
        <v>0</v>
      </c>
      <c r="AV190" s="1">
        <v>0</v>
      </c>
      <c r="AW190" s="1">
        <v>0</v>
      </c>
      <c r="AX190" s="1">
        <v>5</v>
      </c>
      <c r="AY190" s="1">
        <v>0</v>
      </c>
      <c r="AZ190" s="1">
        <v>1</v>
      </c>
      <c r="BA190" s="1">
        <v>0</v>
      </c>
      <c r="BB190" s="1">
        <v>0</v>
      </c>
      <c r="BC190" s="1">
        <v>0</v>
      </c>
      <c r="BD190" s="1">
        <v>0</v>
      </c>
      <c r="BE190" s="1">
        <v>2</v>
      </c>
      <c r="BF190" s="1">
        <v>2</v>
      </c>
      <c r="BG190" s="1">
        <v>1</v>
      </c>
      <c r="BH190" s="1">
        <v>0</v>
      </c>
      <c r="BI190" s="1">
        <v>0</v>
      </c>
      <c r="BJ190" s="1">
        <v>0</v>
      </c>
      <c r="BK190" s="1">
        <v>0</v>
      </c>
      <c r="BL190" s="1">
        <v>45</v>
      </c>
      <c r="BM190" s="1">
        <v>1</v>
      </c>
      <c r="BN190" s="1">
        <v>0</v>
      </c>
      <c r="BO190" s="1">
        <v>2</v>
      </c>
      <c r="BP190" s="1">
        <v>0</v>
      </c>
      <c r="BQ190" s="1">
        <v>0</v>
      </c>
      <c r="BR190" s="1">
        <v>0</v>
      </c>
      <c r="BS190" s="1">
        <v>80</v>
      </c>
      <c r="BT190" s="1">
        <v>1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14</v>
      </c>
      <c r="CA190" s="1">
        <v>11</v>
      </c>
      <c r="CB190" s="1">
        <v>0</v>
      </c>
      <c r="CC190" s="1">
        <v>0</v>
      </c>
      <c r="CD190" s="1">
        <v>70</v>
      </c>
      <c r="CE190" s="1">
        <v>0</v>
      </c>
      <c r="CF190" s="1">
        <v>0</v>
      </c>
      <c r="CG190" s="1">
        <v>4</v>
      </c>
      <c r="CH190" s="1">
        <v>1</v>
      </c>
      <c r="CI190" s="1">
        <v>14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50</v>
      </c>
      <c r="CS190" s="1">
        <v>0</v>
      </c>
      <c r="CT190" s="1">
        <v>2</v>
      </c>
      <c r="CU190" s="1">
        <v>0</v>
      </c>
      <c r="CV190" s="1">
        <v>92</v>
      </c>
      <c r="CW190" s="1">
        <v>4</v>
      </c>
      <c r="CX190" s="1">
        <v>0</v>
      </c>
      <c r="CY190" s="1">
        <v>0</v>
      </c>
      <c r="CZ190" s="1">
        <v>0</v>
      </c>
      <c r="DA190" s="1">
        <v>0</v>
      </c>
      <c r="DB190" s="1">
        <v>2</v>
      </c>
      <c r="DC190" s="1">
        <v>0</v>
      </c>
      <c r="DD190" s="1">
        <v>0</v>
      </c>
      <c r="DE190" s="1">
        <v>0</v>
      </c>
      <c r="DF190" s="1">
        <v>0</v>
      </c>
      <c r="DG190" s="1">
        <v>7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1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11</v>
      </c>
      <c r="EL190" s="1">
        <v>0</v>
      </c>
      <c r="EM190" s="1">
        <v>0</v>
      </c>
      <c r="EN190" s="1">
        <v>0</v>
      </c>
      <c r="EO190" s="1">
        <v>4</v>
      </c>
      <c r="EP190" s="1">
        <v>0</v>
      </c>
      <c r="EQ190" s="1">
        <v>0</v>
      </c>
      <c r="ER190" s="1">
        <v>1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1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1</v>
      </c>
      <c r="GD190" s="1">
        <v>0</v>
      </c>
      <c r="GE190" s="1">
        <v>0</v>
      </c>
      <c r="GF190" s="1">
        <v>0</v>
      </c>
      <c r="GG190" s="1">
        <v>0</v>
      </c>
      <c r="GH190" s="1">
        <v>1</v>
      </c>
      <c r="GI190" s="1">
        <v>0</v>
      </c>
      <c r="GJ190" s="1">
        <v>4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1</v>
      </c>
      <c r="IE190">
        <v>0</v>
      </c>
      <c r="IF190">
        <v>24</v>
      </c>
      <c r="IG190">
        <v>0</v>
      </c>
      <c r="IH190">
        <v>42</v>
      </c>
    </row>
    <row r="191" spans="1:242" x14ac:dyDescent="0.25">
      <c r="A191">
        <v>16239</v>
      </c>
      <c r="B191">
        <v>30</v>
      </c>
      <c r="C191">
        <v>5</v>
      </c>
      <c r="D191" t="s">
        <v>225</v>
      </c>
      <c r="E191" t="s">
        <v>223</v>
      </c>
      <c r="F191">
        <v>3</v>
      </c>
      <c r="G191">
        <v>34.402500000000003</v>
      </c>
      <c r="H191">
        <v>16.879583329999999</v>
      </c>
      <c r="I191">
        <v>24.563549600000002</v>
      </c>
      <c r="J191">
        <v>93.616666670000001</v>
      </c>
      <c r="K191">
        <v>26.06666667</v>
      </c>
      <c r="L191">
        <v>63.704414679999999</v>
      </c>
      <c r="M191">
        <v>14.26492075</v>
      </c>
      <c r="N191">
        <v>1.89</v>
      </c>
      <c r="O191">
        <v>1.23</v>
      </c>
      <c r="P191" t="s">
        <v>217</v>
      </c>
      <c r="Q191" t="s">
        <v>217</v>
      </c>
      <c r="R191" t="s">
        <v>217</v>
      </c>
      <c r="S191" t="s">
        <v>216</v>
      </c>
      <c r="T191" t="s">
        <v>217</v>
      </c>
      <c r="U191" t="s">
        <v>217</v>
      </c>
      <c r="V191">
        <f t="shared" si="8"/>
        <v>40</v>
      </c>
      <c r="W191">
        <f t="shared" si="9"/>
        <v>323</v>
      </c>
      <c r="X191">
        <f t="shared" si="10"/>
        <v>8</v>
      </c>
      <c r="Y191">
        <f t="shared" si="11"/>
        <v>64.599999999999994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3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70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2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2</v>
      </c>
      <c r="BF191" s="1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5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29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17</v>
      </c>
      <c r="CA191" s="1">
        <v>3</v>
      </c>
      <c r="CB191" s="1">
        <v>0</v>
      </c>
      <c r="CC191" s="1">
        <v>0</v>
      </c>
      <c r="CD191" s="1">
        <v>9</v>
      </c>
      <c r="CE191" s="1">
        <v>0</v>
      </c>
      <c r="CF191" s="1">
        <v>0</v>
      </c>
      <c r="CG191" s="1">
        <v>2</v>
      </c>
      <c r="CH191" s="1">
        <v>4</v>
      </c>
      <c r="CI191" s="1">
        <v>3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13</v>
      </c>
      <c r="CS191" s="1">
        <v>0</v>
      </c>
      <c r="CT191" s="1">
        <v>11</v>
      </c>
      <c r="CU191" s="1">
        <v>0</v>
      </c>
      <c r="CV191" s="1">
        <v>20</v>
      </c>
      <c r="CW191" s="1">
        <v>1</v>
      </c>
      <c r="CX191" s="1">
        <v>0</v>
      </c>
      <c r="CY191" s="1">
        <v>0</v>
      </c>
      <c r="CZ191" s="1">
        <v>0</v>
      </c>
      <c r="DA191" s="1">
        <v>0</v>
      </c>
      <c r="DB191" s="1">
        <v>3</v>
      </c>
      <c r="DC191" s="1">
        <v>1</v>
      </c>
      <c r="DD191" s="1">
        <v>0</v>
      </c>
      <c r="DE191" s="1">
        <v>0</v>
      </c>
      <c r="DF191" s="1">
        <v>0</v>
      </c>
      <c r="DG191" s="1">
        <v>3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5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1</v>
      </c>
      <c r="EI191" s="1">
        <v>0</v>
      </c>
      <c r="EJ191" s="1">
        <v>0</v>
      </c>
      <c r="EK191" s="1">
        <v>34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2</v>
      </c>
      <c r="ES191" s="1">
        <v>0</v>
      </c>
      <c r="ET191" s="1">
        <v>0</v>
      </c>
      <c r="EU191" s="1">
        <v>1</v>
      </c>
      <c r="EV191" s="1">
        <v>1</v>
      </c>
      <c r="EW191" s="1">
        <v>0</v>
      </c>
      <c r="EX191" s="1">
        <v>1</v>
      </c>
      <c r="EY191" s="1">
        <v>0</v>
      </c>
      <c r="EZ191" s="1">
        <v>2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2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1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2</v>
      </c>
      <c r="GI191" s="1">
        <v>0</v>
      </c>
      <c r="GJ191" s="1">
        <v>3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1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19</v>
      </c>
      <c r="IG191">
        <v>0</v>
      </c>
      <c r="IH191">
        <v>41</v>
      </c>
    </row>
    <row r="192" spans="1:242" x14ac:dyDescent="0.25">
      <c r="A192">
        <v>16241</v>
      </c>
      <c r="B192">
        <v>28</v>
      </c>
      <c r="C192">
        <v>7</v>
      </c>
      <c r="D192" t="s">
        <v>222</v>
      </c>
      <c r="E192" t="s">
        <v>223</v>
      </c>
      <c r="F192">
        <v>6</v>
      </c>
      <c r="G192">
        <v>31.778916670000001</v>
      </c>
      <c r="H192">
        <v>11.871916669999999</v>
      </c>
      <c r="I192">
        <v>20.672077290000001</v>
      </c>
      <c r="J192">
        <v>95.1</v>
      </c>
      <c r="K192">
        <v>26.425000000000001</v>
      </c>
      <c r="L192">
        <v>68.570332789999995</v>
      </c>
      <c r="M192">
        <v>14.414055830000001</v>
      </c>
      <c r="N192">
        <v>0.39</v>
      </c>
      <c r="O192">
        <v>0.83199999999999996</v>
      </c>
      <c r="P192" t="s">
        <v>216</v>
      </c>
      <c r="Q192" t="s">
        <v>217</v>
      </c>
      <c r="R192" t="s">
        <v>217</v>
      </c>
      <c r="S192" t="s">
        <v>217</v>
      </c>
      <c r="T192" t="s">
        <v>217</v>
      </c>
      <c r="U192" t="s">
        <v>216</v>
      </c>
      <c r="V192">
        <f t="shared" si="8"/>
        <v>39</v>
      </c>
      <c r="W192">
        <f t="shared" si="9"/>
        <v>404</v>
      </c>
      <c r="X192">
        <f t="shared" si="10"/>
        <v>5.5714285714285712</v>
      </c>
      <c r="Y192">
        <f t="shared" si="11"/>
        <v>57.714285714285715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3</v>
      </c>
      <c r="AG192" s="1">
        <v>0</v>
      </c>
      <c r="AH192" s="1">
        <v>14</v>
      </c>
      <c r="AI192" s="1">
        <v>2</v>
      </c>
      <c r="AJ192" s="1">
        <v>1</v>
      </c>
      <c r="AK192" s="1">
        <v>0</v>
      </c>
      <c r="AL192" s="1">
        <v>0</v>
      </c>
      <c r="AM192" s="1">
        <v>42</v>
      </c>
      <c r="AN192" s="1">
        <v>1</v>
      </c>
      <c r="AO192" s="1">
        <v>0</v>
      </c>
      <c r="AP192" s="1">
        <v>10</v>
      </c>
      <c r="AQ192" s="1">
        <v>0</v>
      </c>
      <c r="AR192" s="1">
        <v>1</v>
      </c>
      <c r="AS192" s="1">
        <v>1</v>
      </c>
      <c r="AT192" s="1">
        <v>9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3</v>
      </c>
      <c r="BB192" s="1">
        <v>0</v>
      </c>
      <c r="BC192" s="1">
        <v>0</v>
      </c>
      <c r="BD192" s="1">
        <v>0</v>
      </c>
      <c r="BE192" s="1">
        <v>0</v>
      </c>
      <c r="BF192" s="1">
        <v>4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17</v>
      </c>
      <c r="BM192" s="1">
        <v>2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1</v>
      </c>
      <c r="BV192" s="1">
        <v>0</v>
      </c>
      <c r="BW192" s="1">
        <v>2</v>
      </c>
      <c r="BX192" s="1">
        <v>0</v>
      </c>
      <c r="BY192" s="1">
        <v>0</v>
      </c>
      <c r="BZ192" s="1">
        <v>18</v>
      </c>
      <c r="CA192" s="1">
        <v>8</v>
      </c>
      <c r="CB192" s="1">
        <v>0</v>
      </c>
      <c r="CC192" s="1">
        <v>0</v>
      </c>
      <c r="CD192" s="1">
        <v>72</v>
      </c>
      <c r="CE192" s="1">
        <v>0</v>
      </c>
      <c r="CF192" s="1">
        <v>0</v>
      </c>
      <c r="CG192" s="1">
        <v>90</v>
      </c>
      <c r="CH192" s="1">
        <v>0</v>
      </c>
      <c r="CI192" s="1">
        <v>5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6</v>
      </c>
      <c r="CS192" s="1">
        <v>0</v>
      </c>
      <c r="CT192" s="1">
        <v>3</v>
      </c>
      <c r="CU192" s="1">
        <v>0</v>
      </c>
      <c r="CV192" s="1">
        <v>26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26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4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2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2</v>
      </c>
      <c r="EI192" s="1">
        <v>0</v>
      </c>
      <c r="EJ192" s="1">
        <v>0</v>
      </c>
      <c r="EK192" s="1">
        <v>7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4</v>
      </c>
      <c r="ES192" s="1">
        <v>0</v>
      </c>
      <c r="ET192" s="1">
        <v>1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1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3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2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1</v>
      </c>
      <c r="HS192">
        <v>0</v>
      </c>
      <c r="HT192">
        <v>1</v>
      </c>
      <c r="HU192">
        <v>0</v>
      </c>
      <c r="HV192">
        <v>0</v>
      </c>
      <c r="HW192">
        <v>1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1</v>
      </c>
      <c r="IG192">
        <v>0</v>
      </c>
      <c r="IH192">
        <v>7</v>
      </c>
    </row>
    <row r="193" spans="1:242" x14ac:dyDescent="0.25">
      <c r="A193">
        <v>16245</v>
      </c>
      <c r="B193">
        <v>28</v>
      </c>
      <c r="C193">
        <v>6</v>
      </c>
      <c r="D193" t="s">
        <v>225</v>
      </c>
      <c r="E193" t="s">
        <v>223</v>
      </c>
      <c r="F193">
        <v>6</v>
      </c>
      <c r="G193">
        <v>35.638500000000001</v>
      </c>
      <c r="H193">
        <v>17.099833329999999</v>
      </c>
      <c r="I193">
        <v>25.042879460000002</v>
      </c>
      <c r="J193">
        <v>93.791666669999998</v>
      </c>
      <c r="K193">
        <v>26.116666670000001</v>
      </c>
      <c r="L193">
        <v>64.208432540000004</v>
      </c>
      <c r="M193">
        <v>14.26520882</v>
      </c>
      <c r="N193">
        <v>2.0699999999999998</v>
      </c>
      <c r="O193">
        <v>1.3</v>
      </c>
      <c r="P193" t="s">
        <v>216</v>
      </c>
      <c r="Q193" t="s">
        <v>217</v>
      </c>
      <c r="R193" t="s">
        <v>217</v>
      </c>
      <c r="S193" t="s">
        <v>217</v>
      </c>
      <c r="T193" t="s">
        <v>217</v>
      </c>
      <c r="U193" t="s">
        <v>216</v>
      </c>
      <c r="V193">
        <f t="shared" si="8"/>
        <v>42</v>
      </c>
      <c r="W193">
        <f t="shared" si="9"/>
        <v>307</v>
      </c>
      <c r="X193">
        <f t="shared" si="10"/>
        <v>7</v>
      </c>
      <c r="Y193">
        <f t="shared" si="11"/>
        <v>51.166666666666664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5</v>
      </c>
      <c r="AF193" s="1">
        <v>0</v>
      </c>
      <c r="AG193" s="1">
        <v>0</v>
      </c>
      <c r="AH193" s="1">
        <v>5</v>
      </c>
      <c r="AI193" s="1">
        <v>0</v>
      </c>
      <c r="AJ193" s="1">
        <v>0</v>
      </c>
      <c r="AK193" s="1">
        <v>2</v>
      </c>
      <c r="AL193" s="1">
        <v>0</v>
      </c>
      <c r="AM193" s="1">
        <v>27</v>
      </c>
      <c r="AN193" s="1">
        <v>0</v>
      </c>
      <c r="AO193" s="1">
        <v>0</v>
      </c>
      <c r="AP193" s="1">
        <v>2</v>
      </c>
      <c r="AQ193" s="1">
        <v>0</v>
      </c>
      <c r="AR193" s="1">
        <v>0</v>
      </c>
      <c r="AS193" s="1">
        <v>2</v>
      </c>
      <c r="AT193" s="1">
        <v>20</v>
      </c>
      <c r="AU193" s="1">
        <v>0</v>
      </c>
      <c r="AV193" s="1">
        <v>0</v>
      </c>
      <c r="AW193" s="1">
        <v>0</v>
      </c>
      <c r="AX193" s="1">
        <v>32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1</v>
      </c>
      <c r="BF193" s="1">
        <v>1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8</v>
      </c>
      <c r="BM193" s="1">
        <v>2</v>
      </c>
      <c r="BN193" s="1">
        <v>0</v>
      </c>
      <c r="BO193" s="1">
        <v>0</v>
      </c>
      <c r="BP193" s="1">
        <v>1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2</v>
      </c>
      <c r="BX193" s="1">
        <v>0</v>
      </c>
      <c r="BY193" s="1">
        <v>0</v>
      </c>
      <c r="BZ193" s="1">
        <v>22</v>
      </c>
      <c r="CA193" s="1">
        <v>9</v>
      </c>
      <c r="CB193" s="1">
        <v>0</v>
      </c>
      <c r="CC193" s="1">
        <v>0</v>
      </c>
      <c r="CD193" s="1">
        <v>9</v>
      </c>
      <c r="CE193" s="1">
        <v>0</v>
      </c>
      <c r="CF193" s="1">
        <v>0</v>
      </c>
      <c r="CG193" s="1">
        <v>28</v>
      </c>
      <c r="CH193" s="1">
        <v>0</v>
      </c>
      <c r="CI193" s="1">
        <v>2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7</v>
      </c>
      <c r="CS193" s="1">
        <v>0</v>
      </c>
      <c r="CT193" s="1">
        <v>3</v>
      </c>
      <c r="CU193" s="1">
        <v>0</v>
      </c>
      <c r="CV193" s="1">
        <v>8</v>
      </c>
      <c r="CW193" s="1">
        <v>1</v>
      </c>
      <c r="CX193" s="1">
        <v>0</v>
      </c>
      <c r="CY193" s="1">
        <v>0</v>
      </c>
      <c r="CZ193" s="1">
        <v>0</v>
      </c>
      <c r="DA193" s="1">
        <v>0</v>
      </c>
      <c r="DB193" s="1">
        <v>40</v>
      </c>
      <c r="DC193" s="1">
        <v>1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16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5</v>
      </c>
      <c r="EA193" s="1">
        <v>0</v>
      </c>
      <c r="EB193" s="1">
        <v>2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19</v>
      </c>
      <c r="EL193" s="1">
        <v>1</v>
      </c>
      <c r="EM193" s="1">
        <v>0</v>
      </c>
      <c r="EN193" s="1">
        <v>0</v>
      </c>
      <c r="EO193" s="1">
        <v>1</v>
      </c>
      <c r="EP193" s="1">
        <v>0</v>
      </c>
      <c r="EQ193" s="1">
        <v>0</v>
      </c>
      <c r="ER193" s="1">
        <v>3</v>
      </c>
      <c r="ES193" s="1">
        <v>0</v>
      </c>
      <c r="ET193" s="1">
        <v>1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3</v>
      </c>
      <c r="FA193" s="1">
        <v>0</v>
      </c>
      <c r="FB193" s="1">
        <v>1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6</v>
      </c>
      <c r="FN193" s="1">
        <v>0</v>
      </c>
      <c r="FO193" s="1">
        <v>0</v>
      </c>
      <c r="FP193" s="1">
        <v>0</v>
      </c>
      <c r="FQ193" s="1">
        <v>1</v>
      </c>
      <c r="FR193" s="1">
        <v>0</v>
      </c>
      <c r="FS193" s="1">
        <v>0</v>
      </c>
      <c r="FT193" s="1">
        <v>1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1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1</v>
      </c>
      <c r="IG193">
        <v>0</v>
      </c>
      <c r="IH193">
        <v>4</v>
      </c>
    </row>
    <row r="194" spans="1:242" x14ac:dyDescent="0.25">
      <c r="A194">
        <v>16251</v>
      </c>
      <c r="B194">
        <v>3</v>
      </c>
      <c r="C194">
        <v>7</v>
      </c>
      <c r="D194" t="s">
        <v>225</v>
      </c>
      <c r="E194" t="s">
        <v>223</v>
      </c>
      <c r="F194">
        <v>9</v>
      </c>
      <c r="G194">
        <v>32.70825</v>
      </c>
      <c r="H194">
        <v>18.297000000000001</v>
      </c>
      <c r="I194">
        <v>23.71751488</v>
      </c>
      <c r="J194">
        <v>93.241666670000001</v>
      </c>
      <c r="K194">
        <v>35.116666670000001</v>
      </c>
      <c r="L194">
        <v>72.122172620000001</v>
      </c>
      <c r="M194">
        <v>14.257285169999999</v>
      </c>
      <c r="N194">
        <v>1.44</v>
      </c>
      <c r="O194">
        <v>2.13</v>
      </c>
      <c r="P194" t="s">
        <v>216</v>
      </c>
      <c r="Q194" t="s">
        <v>217</v>
      </c>
      <c r="R194" t="s">
        <v>217</v>
      </c>
      <c r="S194" t="s">
        <v>217</v>
      </c>
      <c r="T194" t="s">
        <v>217</v>
      </c>
      <c r="U194" t="s">
        <v>216</v>
      </c>
      <c r="V194">
        <f t="shared" si="8"/>
        <v>32</v>
      </c>
      <c r="W194">
        <f t="shared" si="9"/>
        <v>159</v>
      </c>
      <c r="X194">
        <f t="shared" si="10"/>
        <v>4.5714285714285712</v>
      </c>
      <c r="Y194">
        <f t="shared" si="11"/>
        <v>22.714285714285715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10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9</v>
      </c>
      <c r="AL194" s="1">
        <v>0</v>
      </c>
      <c r="AM194" s="1">
        <v>26</v>
      </c>
      <c r="AN194" s="1">
        <v>0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1</v>
      </c>
      <c r="BG194" s="1">
        <v>1</v>
      </c>
      <c r="BH194" s="1">
        <v>0</v>
      </c>
      <c r="BI194" s="1">
        <v>0</v>
      </c>
      <c r="BJ194" s="1">
        <v>0</v>
      </c>
      <c r="BK194" s="1">
        <v>0</v>
      </c>
      <c r="BL194" s="1">
        <v>2</v>
      </c>
      <c r="BM194" s="1">
        <v>6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3</v>
      </c>
      <c r="BX194" s="1">
        <v>0</v>
      </c>
      <c r="BY194" s="1">
        <v>0</v>
      </c>
      <c r="BZ194" s="1">
        <v>8</v>
      </c>
      <c r="CA194" s="1">
        <v>4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2</v>
      </c>
      <c r="CS194" s="1">
        <v>0</v>
      </c>
      <c r="CT194" s="1">
        <v>5</v>
      </c>
      <c r="CU194" s="1">
        <v>0</v>
      </c>
      <c r="CV194" s="1">
        <v>13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20</v>
      </c>
      <c r="DC194" s="1">
        <v>1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1</v>
      </c>
      <c r="DP194" s="1">
        <v>0</v>
      </c>
      <c r="DQ194" s="1">
        <v>0</v>
      </c>
      <c r="DR194" s="1">
        <v>0</v>
      </c>
      <c r="DS194" s="1">
        <v>1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6</v>
      </c>
      <c r="EA194" s="1">
        <v>0</v>
      </c>
      <c r="EB194" s="1">
        <v>1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2</v>
      </c>
      <c r="EI194" s="1">
        <v>0</v>
      </c>
      <c r="EJ194" s="1">
        <v>0</v>
      </c>
      <c r="EK194" s="1">
        <v>18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2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5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2</v>
      </c>
      <c r="GB194" s="1">
        <v>0</v>
      </c>
      <c r="GC194" s="1">
        <v>0</v>
      </c>
      <c r="GD194" s="1">
        <v>0</v>
      </c>
      <c r="GE194" s="1">
        <v>1</v>
      </c>
      <c r="GF194" s="1">
        <v>1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2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1</v>
      </c>
      <c r="IG194">
        <v>0</v>
      </c>
      <c r="IH194">
        <v>2</v>
      </c>
    </row>
    <row r="195" spans="1:242" x14ac:dyDescent="0.25">
      <c r="A195">
        <v>16257</v>
      </c>
      <c r="B195">
        <v>25</v>
      </c>
      <c r="C195">
        <v>7</v>
      </c>
      <c r="D195" t="s">
        <v>225</v>
      </c>
      <c r="E195" t="s">
        <v>223</v>
      </c>
      <c r="F195">
        <v>8</v>
      </c>
      <c r="G195">
        <v>30.926500000000001</v>
      </c>
      <c r="H195">
        <v>18.774416670000001</v>
      </c>
      <c r="I195">
        <v>23.78497123</v>
      </c>
      <c r="J195">
        <v>88.974999999999994</v>
      </c>
      <c r="K195">
        <v>37.858333330000001</v>
      </c>
      <c r="L195">
        <v>70.828025789999998</v>
      </c>
      <c r="M195">
        <v>14.25830302</v>
      </c>
      <c r="N195">
        <v>1.74</v>
      </c>
      <c r="O195">
        <v>2.08</v>
      </c>
      <c r="P195" t="s">
        <v>217</v>
      </c>
      <c r="Q195" t="s">
        <v>216</v>
      </c>
      <c r="R195" t="s">
        <v>216</v>
      </c>
      <c r="S195" t="s">
        <v>217</v>
      </c>
      <c r="T195" t="s">
        <v>217</v>
      </c>
      <c r="U195" t="s">
        <v>216</v>
      </c>
      <c r="V195">
        <f t="shared" ref="V195:V258" si="12">COUNTIF(Z195:IH195, "&gt;0")</f>
        <v>19</v>
      </c>
      <c r="W195">
        <f t="shared" ref="W195:W258" si="13">SUM(Z195:IH195)</f>
        <v>59</v>
      </c>
      <c r="X195">
        <f t="shared" ref="X195:X258" si="14">V195/C195</f>
        <v>2.7142857142857144</v>
      </c>
      <c r="Y195">
        <f t="shared" ref="Y195:Y258" si="15">W195/C195</f>
        <v>8.4285714285714288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3</v>
      </c>
      <c r="AF195" s="1">
        <v>10</v>
      </c>
      <c r="AG195" s="1">
        <v>0</v>
      </c>
      <c r="AH195" s="1">
        <v>1</v>
      </c>
      <c r="AI195" s="1">
        <v>0</v>
      </c>
      <c r="AJ195" s="1">
        <v>0</v>
      </c>
      <c r="AK195" s="1">
        <v>2</v>
      </c>
      <c r="AL195" s="1">
        <v>0</v>
      </c>
      <c r="AM195" s="1">
        <v>8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1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4</v>
      </c>
      <c r="CA195" s="1">
        <v>2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1</v>
      </c>
      <c r="CJ195" s="1">
        <v>0</v>
      </c>
      <c r="CK195" s="1">
        <v>0</v>
      </c>
      <c r="CL195" s="1">
        <v>0</v>
      </c>
      <c r="CM195" s="1">
        <v>0</v>
      </c>
      <c r="CN195" s="1">
        <v>1</v>
      </c>
      <c r="CO195" s="1">
        <v>0</v>
      </c>
      <c r="CP195" s="1">
        <v>0</v>
      </c>
      <c r="CQ195" s="1">
        <v>0</v>
      </c>
      <c r="CR195" s="1">
        <v>2</v>
      </c>
      <c r="CS195" s="1">
        <v>0</v>
      </c>
      <c r="CT195" s="1">
        <v>5</v>
      </c>
      <c r="CU195" s="1">
        <v>0</v>
      </c>
      <c r="CV195" s="1">
        <v>6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5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1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2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3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</row>
    <row r="196" spans="1:242" x14ac:dyDescent="0.25">
      <c r="A196">
        <v>16263</v>
      </c>
      <c r="B196">
        <v>15</v>
      </c>
      <c r="C196">
        <v>7</v>
      </c>
      <c r="D196" t="s">
        <v>225</v>
      </c>
      <c r="E196" t="s">
        <v>223</v>
      </c>
      <c r="F196">
        <v>9</v>
      </c>
      <c r="G196">
        <v>32.150166669999997</v>
      </c>
      <c r="H196">
        <v>17.920583329999999</v>
      </c>
      <c r="I196">
        <v>23.49468899</v>
      </c>
      <c r="J196">
        <v>93.724999999999994</v>
      </c>
      <c r="K196">
        <v>44.558333330000004</v>
      </c>
      <c r="L196">
        <v>73.942807540000004</v>
      </c>
      <c r="M196">
        <v>14.244105810000001</v>
      </c>
      <c r="N196">
        <v>1.08</v>
      </c>
      <c r="O196">
        <v>2.64</v>
      </c>
      <c r="P196" t="s">
        <v>216</v>
      </c>
      <c r="Q196" t="s">
        <v>217</v>
      </c>
      <c r="R196" t="s">
        <v>217</v>
      </c>
      <c r="S196" t="s">
        <v>217</v>
      </c>
      <c r="T196" t="s">
        <v>217</v>
      </c>
      <c r="U196" t="s">
        <v>216</v>
      </c>
      <c r="V196">
        <f t="shared" si="12"/>
        <v>17</v>
      </c>
      <c r="W196">
        <f t="shared" si="13"/>
        <v>122</v>
      </c>
      <c r="X196">
        <f t="shared" si="14"/>
        <v>2.4285714285714284</v>
      </c>
      <c r="Y196">
        <f t="shared" si="15"/>
        <v>17.428571428571427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36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1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15</v>
      </c>
      <c r="CA196" s="1">
        <v>2</v>
      </c>
      <c r="CB196" s="1">
        <v>0</v>
      </c>
      <c r="CC196" s="1">
        <v>0</v>
      </c>
      <c r="CD196" s="1">
        <v>7</v>
      </c>
      <c r="CE196" s="1">
        <v>0</v>
      </c>
      <c r="CF196" s="1">
        <v>0</v>
      </c>
      <c r="CG196" s="1">
        <v>1</v>
      </c>
      <c r="CH196" s="1">
        <v>0</v>
      </c>
      <c r="CI196" s="1">
        <v>0</v>
      </c>
      <c r="CJ196" s="1">
        <v>1</v>
      </c>
      <c r="CK196" s="1">
        <v>0</v>
      </c>
      <c r="CL196" s="1">
        <v>0</v>
      </c>
      <c r="CM196" s="1">
        <v>0</v>
      </c>
      <c r="CN196" s="1">
        <v>15</v>
      </c>
      <c r="CO196" s="1">
        <v>0</v>
      </c>
      <c r="CP196" s="1">
        <v>0</v>
      </c>
      <c r="CQ196" s="1">
        <v>0</v>
      </c>
      <c r="CR196" s="1">
        <v>1</v>
      </c>
      <c r="CS196" s="1">
        <v>0</v>
      </c>
      <c r="CT196" s="1">
        <v>0</v>
      </c>
      <c r="CU196" s="1">
        <v>0</v>
      </c>
      <c r="CV196" s="1">
        <v>3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10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2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1</v>
      </c>
      <c r="EC196" s="1">
        <v>0</v>
      </c>
      <c r="ED196" s="1">
        <v>0</v>
      </c>
      <c r="EE196" s="1">
        <v>0</v>
      </c>
      <c r="EF196" s="1">
        <v>0</v>
      </c>
      <c r="EG196" s="1">
        <v>1</v>
      </c>
      <c r="EH196" s="1">
        <v>0</v>
      </c>
      <c r="EI196" s="1">
        <v>0</v>
      </c>
      <c r="EJ196" s="1">
        <v>0</v>
      </c>
      <c r="EK196" s="1">
        <v>22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1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3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</row>
    <row r="197" spans="1:242" x14ac:dyDescent="0.25">
      <c r="A197">
        <v>16268</v>
      </c>
      <c r="B197">
        <v>5</v>
      </c>
      <c r="C197">
        <v>7</v>
      </c>
      <c r="D197" t="s">
        <v>225</v>
      </c>
      <c r="E197" t="s">
        <v>223</v>
      </c>
      <c r="F197">
        <v>3</v>
      </c>
      <c r="G197">
        <v>33.553583330000002</v>
      </c>
      <c r="H197">
        <v>17.129666669999999</v>
      </c>
      <c r="I197">
        <v>23.21382788</v>
      </c>
      <c r="J197">
        <v>96.408333330000005</v>
      </c>
      <c r="K197">
        <v>33.008333329999999</v>
      </c>
      <c r="L197">
        <v>73.02306548</v>
      </c>
      <c r="M197">
        <v>14.262208749999999</v>
      </c>
      <c r="N197">
        <v>1.03</v>
      </c>
      <c r="O197">
        <v>2.0499999999999998</v>
      </c>
      <c r="P197" t="s">
        <v>216</v>
      </c>
      <c r="Q197" t="s">
        <v>216</v>
      </c>
      <c r="R197" t="s">
        <v>216</v>
      </c>
      <c r="S197" t="s">
        <v>217</v>
      </c>
      <c r="T197" t="s">
        <v>217</v>
      </c>
      <c r="U197" t="s">
        <v>216</v>
      </c>
      <c r="V197">
        <f t="shared" si="12"/>
        <v>44</v>
      </c>
      <c r="W197">
        <f t="shared" si="13"/>
        <v>985</v>
      </c>
      <c r="X197">
        <f t="shared" si="14"/>
        <v>6.2857142857142856</v>
      </c>
      <c r="Y197">
        <f t="shared" si="15"/>
        <v>140.71428571428572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15</v>
      </c>
      <c r="AF197" s="1">
        <v>22</v>
      </c>
      <c r="AG197" s="1">
        <v>0</v>
      </c>
      <c r="AH197" s="1">
        <v>4</v>
      </c>
      <c r="AI197" s="1">
        <v>2</v>
      </c>
      <c r="AJ197" s="1">
        <v>0</v>
      </c>
      <c r="AK197" s="1">
        <v>1</v>
      </c>
      <c r="AL197" s="1">
        <v>0</v>
      </c>
      <c r="AM197" s="1">
        <v>26</v>
      </c>
      <c r="AN197" s="1">
        <v>3</v>
      </c>
      <c r="AO197" s="1">
        <v>0</v>
      </c>
      <c r="AP197" s="1">
        <v>1</v>
      </c>
      <c r="AQ197" s="1">
        <v>0</v>
      </c>
      <c r="AR197" s="1">
        <v>0</v>
      </c>
      <c r="AS197" s="1">
        <v>0</v>
      </c>
      <c r="AT197" s="1">
        <v>42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1</v>
      </c>
      <c r="BF197" s="1">
        <v>0</v>
      </c>
      <c r="BG197" s="1">
        <v>2</v>
      </c>
      <c r="BH197" s="1">
        <v>0</v>
      </c>
      <c r="BI197" s="1">
        <v>0</v>
      </c>
      <c r="BJ197" s="1">
        <v>0</v>
      </c>
      <c r="BK197" s="1">
        <v>0</v>
      </c>
      <c r="BL197" s="1">
        <v>20</v>
      </c>
      <c r="BM197" s="1">
        <v>2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1</v>
      </c>
      <c r="BX197" s="1">
        <v>0</v>
      </c>
      <c r="BY197" s="1">
        <v>0</v>
      </c>
      <c r="BZ197" s="1">
        <v>17</v>
      </c>
      <c r="CA197" s="1">
        <v>459</v>
      </c>
      <c r="CB197" s="1">
        <v>1</v>
      </c>
      <c r="CC197" s="1">
        <v>0</v>
      </c>
      <c r="CD197" s="1">
        <v>9</v>
      </c>
      <c r="CE197" s="1">
        <v>0</v>
      </c>
      <c r="CF197" s="1">
        <v>0</v>
      </c>
      <c r="CG197" s="1">
        <v>2</v>
      </c>
      <c r="CH197" s="1">
        <v>0</v>
      </c>
      <c r="CI197" s="1">
        <v>6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125</v>
      </c>
      <c r="CU197" s="1">
        <v>0</v>
      </c>
      <c r="CV197" s="1">
        <v>43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18</v>
      </c>
      <c r="DC197" s="1">
        <v>0</v>
      </c>
      <c r="DD197" s="1">
        <v>0</v>
      </c>
      <c r="DE197" s="1">
        <v>0</v>
      </c>
      <c r="DF197" s="1">
        <v>0</v>
      </c>
      <c r="DG197" s="1">
        <v>12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4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5</v>
      </c>
      <c r="EA197" s="1">
        <v>0</v>
      </c>
      <c r="EB197" s="1">
        <v>2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2</v>
      </c>
      <c r="EI197" s="1">
        <v>0</v>
      </c>
      <c r="EJ197" s="1">
        <v>0</v>
      </c>
      <c r="EK197" s="1">
        <v>19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2</v>
      </c>
      <c r="ES197" s="1">
        <v>0</v>
      </c>
      <c r="ET197" s="1">
        <v>0</v>
      </c>
      <c r="EU197" s="1">
        <v>4</v>
      </c>
      <c r="EV197" s="1">
        <v>0</v>
      </c>
      <c r="EW197" s="1">
        <v>0</v>
      </c>
      <c r="EX197" s="1">
        <v>0</v>
      </c>
      <c r="EY197" s="1">
        <v>0</v>
      </c>
      <c r="EZ197" s="1">
        <v>14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39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1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8</v>
      </c>
      <c r="FZ197" s="1">
        <v>0</v>
      </c>
      <c r="GA197" s="1">
        <v>0</v>
      </c>
      <c r="GB197" s="1">
        <v>3</v>
      </c>
      <c r="GC197" s="1">
        <v>0</v>
      </c>
      <c r="GD197" s="1">
        <v>0</v>
      </c>
      <c r="GE197" s="1">
        <v>0</v>
      </c>
      <c r="GF197" s="1">
        <v>3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2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4</v>
      </c>
      <c r="HE197">
        <v>3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2</v>
      </c>
      <c r="ID197">
        <v>0</v>
      </c>
      <c r="IE197">
        <v>0</v>
      </c>
      <c r="IF197">
        <v>1</v>
      </c>
      <c r="IG197">
        <v>0</v>
      </c>
      <c r="IH197">
        <v>32</v>
      </c>
    </row>
    <row r="198" spans="1:242" x14ac:dyDescent="0.25">
      <c r="A198">
        <v>16273</v>
      </c>
      <c r="B198">
        <v>20</v>
      </c>
      <c r="C198">
        <v>7</v>
      </c>
      <c r="D198" t="s">
        <v>225</v>
      </c>
      <c r="E198" t="s">
        <v>223</v>
      </c>
      <c r="F198">
        <v>4</v>
      </c>
      <c r="G198">
        <v>31.544333330000001</v>
      </c>
      <c r="H198">
        <v>17.902666669999999</v>
      </c>
      <c r="I198">
        <v>23.447827879999998</v>
      </c>
      <c r="J198">
        <v>91.174999999999997</v>
      </c>
      <c r="K198">
        <v>32.524999999999999</v>
      </c>
      <c r="L198">
        <v>70.132390869999995</v>
      </c>
      <c r="M198">
        <v>14.26383629</v>
      </c>
      <c r="N198">
        <v>1.55</v>
      </c>
      <c r="O198">
        <v>1.78</v>
      </c>
      <c r="P198" t="s">
        <v>216</v>
      </c>
      <c r="Q198" t="s">
        <v>216</v>
      </c>
      <c r="R198" t="s">
        <v>217</v>
      </c>
      <c r="S198" t="s">
        <v>217</v>
      </c>
      <c r="T198" t="s">
        <v>217</v>
      </c>
      <c r="U198" t="s">
        <v>216</v>
      </c>
      <c r="V198">
        <f t="shared" si="12"/>
        <v>17</v>
      </c>
      <c r="W198">
        <f t="shared" si="13"/>
        <v>44</v>
      </c>
      <c r="X198">
        <f t="shared" si="14"/>
        <v>2.4285714285714284</v>
      </c>
      <c r="Y198">
        <f t="shared" si="15"/>
        <v>6.2857142857142856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17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2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2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1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1</v>
      </c>
      <c r="BX198" s="1">
        <v>0</v>
      </c>
      <c r="BY198" s="1">
        <v>0</v>
      </c>
      <c r="BZ198" s="1">
        <v>1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1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1</v>
      </c>
      <c r="CS198" s="1">
        <v>0</v>
      </c>
      <c r="CT198" s="1">
        <v>0</v>
      </c>
      <c r="CU198" s="1">
        <v>0</v>
      </c>
      <c r="CV198" s="1">
        <v>3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1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1</v>
      </c>
      <c r="DP198" s="1">
        <v>0</v>
      </c>
      <c r="DQ198" s="1">
        <v>0</v>
      </c>
      <c r="DR198" s="1">
        <v>0</v>
      </c>
      <c r="DS198" s="1">
        <v>1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1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4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5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</row>
    <row r="199" spans="1:242" x14ac:dyDescent="0.25">
      <c r="A199">
        <v>16280</v>
      </c>
      <c r="B199">
        <v>6</v>
      </c>
      <c r="C199">
        <v>7</v>
      </c>
      <c r="D199" t="s">
        <v>225</v>
      </c>
      <c r="E199" t="s">
        <v>223</v>
      </c>
      <c r="F199">
        <v>4</v>
      </c>
      <c r="G199">
        <v>33.209499999999998</v>
      </c>
      <c r="H199">
        <v>17.141500000000001</v>
      </c>
      <c r="I199">
        <v>23.48093849</v>
      </c>
      <c r="J199">
        <v>95.125</v>
      </c>
      <c r="K199">
        <v>32.6</v>
      </c>
      <c r="L199">
        <v>71.830009919999995</v>
      </c>
      <c r="M199">
        <v>14.264131219999999</v>
      </c>
      <c r="N199">
        <v>1.2</v>
      </c>
      <c r="O199">
        <v>1.94</v>
      </c>
      <c r="P199" t="s">
        <v>216</v>
      </c>
      <c r="Q199" t="s">
        <v>217</v>
      </c>
      <c r="R199" t="s">
        <v>217</v>
      </c>
      <c r="S199" t="s">
        <v>217</v>
      </c>
      <c r="T199" t="s">
        <v>217</v>
      </c>
      <c r="U199" t="s">
        <v>216</v>
      </c>
      <c r="V199">
        <f t="shared" si="12"/>
        <v>36</v>
      </c>
      <c r="W199">
        <f t="shared" si="13"/>
        <v>270</v>
      </c>
      <c r="X199">
        <f t="shared" si="14"/>
        <v>5.1428571428571432</v>
      </c>
      <c r="Y199">
        <f t="shared" si="15"/>
        <v>38.571428571428569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3</v>
      </c>
      <c r="AF199" s="1">
        <v>0</v>
      </c>
      <c r="AG199" s="1">
        <v>0</v>
      </c>
      <c r="AH199" s="1">
        <v>7</v>
      </c>
      <c r="AI199" s="1">
        <v>0</v>
      </c>
      <c r="AJ199" s="1">
        <v>0</v>
      </c>
      <c r="AK199" s="1">
        <v>0</v>
      </c>
      <c r="AL199" s="1">
        <v>0</v>
      </c>
      <c r="AM199" s="1">
        <v>14</v>
      </c>
      <c r="AN199" s="1">
        <v>6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3</v>
      </c>
      <c r="AU199" s="1">
        <v>0</v>
      </c>
      <c r="AV199" s="1">
        <v>0</v>
      </c>
      <c r="AW199" s="1">
        <v>0</v>
      </c>
      <c r="AX199" s="1">
        <v>16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1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7</v>
      </c>
      <c r="BX199" s="1">
        <v>0</v>
      </c>
      <c r="BY199" s="1">
        <v>0</v>
      </c>
      <c r="BZ199" s="1">
        <v>8</v>
      </c>
      <c r="CA199" s="1">
        <v>3</v>
      </c>
      <c r="CB199" s="1">
        <v>0</v>
      </c>
      <c r="CC199" s="1">
        <v>0</v>
      </c>
      <c r="CD199" s="1">
        <v>4</v>
      </c>
      <c r="CE199" s="1">
        <v>0</v>
      </c>
      <c r="CF199" s="1">
        <v>0</v>
      </c>
      <c r="CG199" s="1">
        <v>20</v>
      </c>
      <c r="CH199" s="1">
        <v>1</v>
      </c>
      <c r="CI199" s="1">
        <v>1</v>
      </c>
      <c r="CJ199" s="1">
        <v>0</v>
      </c>
      <c r="CK199" s="1">
        <v>0</v>
      </c>
      <c r="CL199" s="1">
        <v>0</v>
      </c>
      <c r="CM199" s="1">
        <v>0</v>
      </c>
      <c r="CN199" s="1">
        <v>1</v>
      </c>
      <c r="CO199" s="1">
        <v>0</v>
      </c>
      <c r="CP199" s="1">
        <v>0</v>
      </c>
      <c r="CQ199" s="1">
        <v>0</v>
      </c>
      <c r="CR199" s="1">
        <v>1</v>
      </c>
      <c r="CS199" s="1">
        <v>0</v>
      </c>
      <c r="CT199" s="1">
        <v>5</v>
      </c>
      <c r="CU199" s="1">
        <v>0</v>
      </c>
      <c r="CV199" s="1">
        <v>16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9</v>
      </c>
      <c r="DC199" s="1">
        <v>3</v>
      </c>
      <c r="DD199" s="1">
        <v>0</v>
      </c>
      <c r="DE199" s="1">
        <v>0</v>
      </c>
      <c r="DF199" s="1">
        <v>0</v>
      </c>
      <c r="DG199" s="1">
        <v>19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2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23</v>
      </c>
      <c r="EA199" s="1">
        <v>0</v>
      </c>
      <c r="EB199" s="1">
        <v>2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4</v>
      </c>
      <c r="EI199" s="1">
        <v>0</v>
      </c>
      <c r="EJ199" s="1">
        <v>6</v>
      </c>
      <c r="EK199" s="1">
        <v>37</v>
      </c>
      <c r="EL199" s="1">
        <v>0</v>
      </c>
      <c r="EM199" s="1">
        <v>2</v>
      </c>
      <c r="EN199" s="1">
        <v>0</v>
      </c>
      <c r="EO199" s="1">
        <v>0</v>
      </c>
      <c r="EP199" s="1">
        <v>0</v>
      </c>
      <c r="EQ199" s="1">
        <v>32</v>
      </c>
      <c r="ER199" s="1">
        <v>0</v>
      </c>
      <c r="ES199" s="1">
        <v>0</v>
      </c>
      <c r="ET199" s="1">
        <v>0</v>
      </c>
      <c r="EU199" s="1">
        <v>1</v>
      </c>
      <c r="EV199" s="1">
        <v>0</v>
      </c>
      <c r="EW199" s="1">
        <v>0</v>
      </c>
      <c r="EX199" s="1">
        <v>0</v>
      </c>
      <c r="EY199" s="1">
        <v>0</v>
      </c>
      <c r="EZ199" s="1">
        <v>1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7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1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>
        <v>0</v>
      </c>
      <c r="GT199">
        <v>0</v>
      </c>
      <c r="GU199">
        <v>0</v>
      </c>
      <c r="GV199">
        <v>1</v>
      </c>
      <c r="GW199">
        <v>0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2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</row>
    <row r="200" spans="1:242" x14ac:dyDescent="0.25">
      <c r="A200">
        <v>16285</v>
      </c>
      <c r="B200">
        <v>4</v>
      </c>
      <c r="C200">
        <v>7</v>
      </c>
      <c r="D200" t="s">
        <v>225</v>
      </c>
      <c r="E200" t="s">
        <v>223</v>
      </c>
      <c r="F200">
        <v>4</v>
      </c>
      <c r="G200">
        <v>30.551833330000001</v>
      </c>
      <c r="H200">
        <v>17.077999999999999</v>
      </c>
      <c r="I200">
        <v>22.68922718</v>
      </c>
      <c r="J200">
        <v>95.241666670000001</v>
      </c>
      <c r="K200">
        <v>36.008333329999999</v>
      </c>
      <c r="L200">
        <v>73.909672619999995</v>
      </c>
      <c r="M200">
        <v>14.26427848</v>
      </c>
      <c r="N200">
        <v>0.70899999999999996</v>
      </c>
      <c r="O200">
        <v>2.19</v>
      </c>
      <c r="P200" t="s">
        <v>216</v>
      </c>
      <c r="Q200" t="s">
        <v>217</v>
      </c>
      <c r="R200" t="s">
        <v>216</v>
      </c>
      <c r="S200" t="s">
        <v>217</v>
      </c>
      <c r="T200" t="s">
        <v>217</v>
      </c>
      <c r="U200" t="s">
        <v>216</v>
      </c>
      <c r="V200">
        <f t="shared" si="12"/>
        <v>26</v>
      </c>
      <c r="W200">
        <f t="shared" si="13"/>
        <v>93</v>
      </c>
      <c r="X200">
        <f t="shared" si="14"/>
        <v>3.7142857142857144</v>
      </c>
      <c r="Y200">
        <f t="shared" si="15"/>
        <v>13.285714285714286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5</v>
      </c>
      <c r="AF200" s="1">
        <v>0</v>
      </c>
      <c r="AG200" s="1">
        <v>0</v>
      </c>
      <c r="AH200" s="1">
        <v>0</v>
      </c>
      <c r="AI200" s="1">
        <v>1</v>
      </c>
      <c r="AJ200" s="1">
        <v>0</v>
      </c>
      <c r="AK200" s="1">
        <v>0</v>
      </c>
      <c r="AL200" s="1">
        <v>0</v>
      </c>
      <c r="AM200" s="1">
        <v>19</v>
      </c>
      <c r="AN200" s="1">
        <v>3</v>
      </c>
      <c r="AO200" s="1">
        <v>0</v>
      </c>
      <c r="AP200" s="1">
        <v>1</v>
      </c>
      <c r="AQ200" s="1">
        <v>0</v>
      </c>
      <c r="AR200" s="1">
        <v>0</v>
      </c>
      <c r="AS200" s="1">
        <v>0</v>
      </c>
      <c r="AT200" s="1">
        <v>7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1</v>
      </c>
      <c r="BL200" s="1">
        <v>1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1</v>
      </c>
      <c r="BZ200" s="1">
        <v>5</v>
      </c>
      <c r="CA200" s="1">
        <v>1</v>
      </c>
      <c r="CB200" s="1">
        <v>0</v>
      </c>
      <c r="CC200" s="1">
        <v>0</v>
      </c>
      <c r="CD200" s="1">
        <v>3</v>
      </c>
      <c r="CE200" s="1">
        <v>0</v>
      </c>
      <c r="CF200" s="1">
        <v>0</v>
      </c>
      <c r="CG200" s="1">
        <v>10</v>
      </c>
      <c r="CH200" s="1">
        <v>1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2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1</v>
      </c>
      <c r="CU200" s="1">
        <v>0</v>
      </c>
      <c r="CV200" s="1">
        <v>6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10</v>
      </c>
      <c r="DC200" s="1">
        <v>0</v>
      </c>
      <c r="DD200" s="1">
        <v>0</v>
      </c>
      <c r="DE200" s="1">
        <v>0</v>
      </c>
      <c r="DF200" s="1">
        <v>0</v>
      </c>
      <c r="DG200" s="1">
        <v>1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1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1</v>
      </c>
      <c r="EA200" s="1">
        <v>0</v>
      </c>
      <c r="EB200" s="1">
        <v>2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6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1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1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2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</row>
    <row r="201" spans="1:242" x14ac:dyDescent="0.25">
      <c r="A201">
        <v>16291</v>
      </c>
      <c r="B201">
        <v>10</v>
      </c>
      <c r="C201">
        <v>7</v>
      </c>
      <c r="D201" t="s">
        <v>225</v>
      </c>
      <c r="E201" t="s">
        <v>223</v>
      </c>
      <c r="F201">
        <v>8</v>
      </c>
      <c r="G201">
        <v>33.364416669999997</v>
      </c>
      <c r="H201">
        <v>17.466750000000001</v>
      </c>
      <c r="I201">
        <v>23.936483630000001</v>
      </c>
      <c r="J201">
        <v>91.875</v>
      </c>
      <c r="K201">
        <v>34.558333330000004</v>
      </c>
      <c r="L201">
        <v>70.533283729999994</v>
      </c>
      <c r="M201">
        <v>14.25560368</v>
      </c>
      <c r="N201">
        <v>1.64</v>
      </c>
      <c r="O201">
        <v>1.88</v>
      </c>
      <c r="P201" t="s">
        <v>216</v>
      </c>
      <c r="Q201" t="s">
        <v>217</v>
      </c>
      <c r="R201" t="s">
        <v>217</v>
      </c>
      <c r="S201" t="s">
        <v>217</v>
      </c>
      <c r="T201" t="s">
        <v>217</v>
      </c>
      <c r="U201" t="s">
        <v>217</v>
      </c>
      <c r="V201">
        <f t="shared" si="12"/>
        <v>12</v>
      </c>
      <c r="W201">
        <f t="shared" si="13"/>
        <v>42</v>
      </c>
      <c r="X201">
        <f t="shared" si="14"/>
        <v>1.7142857142857142</v>
      </c>
      <c r="Y201">
        <f t="shared" si="15"/>
        <v>6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0</v>
      </c>
      <c r="AJ201" s="1">
        <v>0</v>
      </c>
      <c r="AK201" s="1">
        <v>0</v>
      </c>
      <c r="AL201" s="1">
        <v>0</v>
      </c>
      <c r="AM201" s="1">
        <v>8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11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1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2</v>
      </c>
      <c r="CU201" s="1">
        <v>0</v>
      </c>
      <c r="CV201" s="1">
        <v>2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9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4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1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1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</row>
    <row r="202" spans="1:242" x14ac:dyDescent="0.25">
      <c r="A202">
        <v>16298</v>
      </c>
      <c r="B202">
        <v>22</v>
      </c>
      <c r="C202">
        <v>7</v>
      </c>
      <c r="D202" t="s">
        <v>225</v>
      </c>
      <c r="E202" t="s">
        <v>223</v>
      </c>
      <c r="F202">
        <v>5</v>
      </c>
      <c r="G202">
        <v>33.804083329999997</v>
      </c>
      <c r="H202">
        <v>18.449583329999999</v>
      </c>
      <c r="I202">
        <v>24.302862099999999</v>
      </c>
      <c r="J202">
        <v>90.6</v>
      </c>
      <c r="K202">
        <v>31.25</v>
      </c>
      <c r="L202">
        <v>68.077083329999994</v>
      </c>
      <c r="M202">
        <v>14.26061211</v>
      </c>
      <c r="N202">
        <v>2.0699999999999998</v>
      </c>
      <c r="O202">
        <v>1.68</v>
      </c>
      <c r="P202" t="s">
        <v>217</v>
      </c>
      <c r="Q202" t="s">
        <v>216</v>
      </c>
      <c r="R202" t="s">
        <v>216</v>
      </c>
      <c r="S202" t="s">
        <v>217</v>
      </c>
      <c r="T202" t="s">
        <v>217</v>
      </c>
      <c r="U202" t="s">
        <v>217</v>
      </c>
      <c r="V202">
        <f t="shared" si="12"/>
        <v>17</v>
      </c>
      <c r="W202">
        <f t="shared" si="13"/>
        <v>39</v>
      </c>
      <c r="X202">
        <f t="shared" si="14"/>
        <v>2.4285714285714284</v>
      </c>
      <c r="Y202">
        <f t="shared" si="15"/>
        <v>5.5714285714285712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2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1</v>
      </c>
      <c r="AL202" s="1">
        <v>0</v>
      </c>
      <c r="AM202" s="1">
        <v>3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2</v>
      </c>
      <c r="BM202" s="1">
        <v>1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3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1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1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1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3</v>
      </c>
      <c r="EI202" s="1">
        <v>0</v>
      </c>
      <c r="EJ202" s="1">
        <v>0</v>
      </c>
      <c r="EK202" s="1">
        <v>1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4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12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1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</v>
      </c>
      <c r="IF202">
        <v>1</v>
      </c>
      <c r="IG202">
        <v>0</v>
      </c>
      <c r="IH202">
        <v>1</v>
      </c>
    </row>
    <row r="203" spans="1:242" x14ac:dyDescent="0.25">
      <c r="A203">
        <v>16302</v>
      </c>
      <c r="B203">
        <v>22</v>
      </c>
      <c r="C203">
        <v>7</v>
      </c>
      <c r="D203" t="s">
        <v>226</v>
      </c>
      <c r="E203" t="s">
        <v>223</v>
      </c>
      <c r="F203">
        <v>5</v>
      </c>
      <c r="G203">
        <v>33.353250000000003</v>
      </c>
      <c r="H203">
        <v>16.258500000000002</v>
      </c>
      <c r="I203">
        <v>24.286194940000001</v>
      </c>
      <c r="J203">
        <v>92.375</v>
      </c>
      <c r="K203">
        <v>34.274999999999999</v>
      </c>
      <c r="L203">
        <v>69.062946429999997</v>
      </c>
      <c r="M203">
        <v>13.61510099</v>
      </c>
      <c r="N203">
        <v>1.43</v>
      </c>
      <c r="O203">
        <v>1.61</v>
      </c>
      <c r="P203" t="s">
        <v>217</v>
      </c>
      <c r="Q203" t="s">
        <v>216</v>
      </c>
      <c r="R203" t="s">
        <v>216</v>
      </c>
      <c r="S203" t="s">
        <v>217</v>
      </c>
      <c r="T203" t="s">
        <v>217</v>
      </c>
      <c r="U203" t="s">
        <v>217</v>
      </c>
      <c r="V203">
        <f t="shared" si="12"/>
        <v>10</v>
      </c>
      <c r="W203">
        <f t="shared" si="13"/>
        <v>24</v>
      </c>
      <c r="X203">
        <f t="shared" si="14"/>
        <v>1.4285714285714286</v>
      </c>
      <c r="Y203">
        <f t="shared" si="15"/>
        <v>3.4285714285714284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3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1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1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1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2</v>
      </c>
      <c r="EA203" s="1">
        <v>0</v>
      </c>
      <c r="EB203" s="1">
        <v>1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2</v>
      </c>
      <c r="EI203" s="1">
        <v>0</v>
      </c>
      <c r="EJ203" s="1">
        <v>0</v>
      </c>
      <c r="EK203" s="1">
        <v>11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1</v>
      </c>
      <c r="IG203">
        <v>0</v>
      </c>
      <c r="IH203">
        <v>1</v>
      </c>
    </row>
    <row r="204" spans="1:242" x14ac:dyDescent="0.25">
      <c r="A204">
        <v>16303</v>
      </c>
      <c r="B204">
        <v>1</v>
      </c>
      <c r="C204">
        <v>7</v>
      </c>
      <c r="D204" t="s">
        <v>226</v>
      </c>
      <c r="E204" t="s">
        <v>223</v>
      </c>
      <c r="F204">
        <v>9</v>
      </c>
      <c r="G204">
        <v>31.112749999999998</v>
      </c>
      <c r="H204">
        <v>16.935166670000001</v>
      </c>
      <c r="I204">
        <v>22.019703870000001</v>
      </c>
      <c r="J204">
        <v>97.375</v>
      </c>
      <c r="K204">
        <v>46.116666670000001</v>
      </c>
      <c r="L204">
        <v>77.401240079999994</v>
      </c>
      <c r="M204">
        <v>13.40221721</v>
      </c>
      <c r="N204" s="8">
        <v>4.5900000000000003E-2</v>
      </c>
      <c r="O204">
        <v>2.69</v>
      </c>
      <c r="P204" t="s">
        <v>216</v>
      </c>
      <c r="Q204" t="s">
        <v>216</v>
      </c>
      <c r="R204" t="s">
        <v>216</v>
      </c>
      <c r="S204" t="s">
        <v>216</v>
      </c>
      <c r="T204" t="s">
        <v>216</v>
      </c>
      <c r="U204" t="s">
        <v>216</v>
      </c>
      <c r="V204">
        <f t="shared" si="12"/>
        <v>19</v>
      </c>
      <c r="W204">
        <f t="shared" si="13"/>
        <v>102</v>
      </c>
      <c r="X204">
        <f t="shared" si="14"/>
        <v>2.7142857142857144</v>
      </c>
      <c r="Y204">
        <f t="shared" si="15"/>
        <v>14.571428571428571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2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9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3</v>
      </c>
      <c r="CU204" s="1">
        <v>0</v>
      </c>
      <c r="CV204" s="1">
        <v>2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23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1</v>
      </c>
      <c r="DY204" s="1">
        <v>0</v>
      </c>
      <c r="DZ204" s="1">
        <v>1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1</v>
      </c>
      <c r="EI204" s="1">
        <v>0</v>
      </c>
      <c r="EJ204" s="1">
        <v>0</v>
      </c>
      <c r="EK204" s="1">
        <v>14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</v>
      </c>
      <c r="EV204" s="1">
        <v>0</v>
      </c>
      <c r="EW204" s="1">
        <v>0</v>
      </c>
      <c r="EX204" s="1">
        <v>0</v>
      </c>
      <c r="EY204" s="1">
        <v>0</v>
      </c>
      <c r="EZ204" s="1">
        <v>33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1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2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1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1</v>
      </c>
      <c r="HE204">
        <v>0</v>
      </c>
      <c r="HF204">
        <v>0</v>
      </c>
      <c r="HG204">
        <v>0</v>
      </c>
      <c r="HH204">
        <v>0</v>
      </c>
      <c r="HI204">
        <v>4</v>
      </c>
      <c r="HJ204">
        <v>0</v>
      </c>
      <c r="HK204">
        <v>0</v>
      </c>
      <c r="HL204">
        <v>0</v>
      </c>
      <c r="HM204">
        <v>0</v>
      </c>
      <c r="HN204">
        <v>1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</row>
    <row r="205" spans="1:242" x14ac:dyDescent="0.25">
      <c r="A205">
        <v>16305</v>
      </c>
      <c r="B205">
        <v>18</v>
      </c>
      <c r="C205">
        <v>7</v>
      </c>
      <c r="D205" t="s">
        <v>225</v>
      </c>
      <c r="E205" t="s">
        <v>223</v>
      </c>
      <c r="F205">
        <v>9</v>
      </c>
      <c r="G205">
        <v>32.344499999999996</v>
      </c>
      <c r="H205">
        <v>16.34783333</v>
      </c>
      <c r="I205">
        <v>23.399164679999998</v>
      </c>
      <c r="J205">
        <v>95.991666670000001</v>
      </c>
      <c r="K205">
        <v>35.4</v>
      </c>
      <c r="L205">
        <v>72.593998020000001</v>
      </c>
      <c r="M205">
        <v>14.26088781</v>
      </c>
      <c r="N205">
        <v>0.878</v>
      </c>
      <c r="O205">
        <v>2.08</v>
      </c>
      <c r="P205" t="s">
        <v>216</v>
      </c>
      <c r="Q205" t="s">
        <v>217</v>
      </c>
      <c r="R205" t="s">
        <v>217</v>
      </c>
      <c r="S205" t="s">
        <v>217</v>
      </c>
      <c r="T205" t="s">
        <v>217</v>
      </c>
      <c r="U205" t="s">
        <v>217</v>
      </c>
      <c r="V205">
        <f t="shared" si="12"/>
        <v>36</v>
      </c>
      <c r="W205">
        <f t="shared" si="13"/>
        <v>170</v>
      </c>
      <c r="X205">
        <f t="shared" si="14"/>
        <v>5.1428571428571432</v>
      </c>
      <c r="Y205">
        <f t="shared" si="15"/>
        <v>24.285714285714285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38</v>
      </c>
      <c r="AN205" s="1">
        <v>1</v>
      </c>
      <c r="AO205" s="1">
        <v>0</v>
      </c>
      <c r="AP205" s="1">
        <v>0</v>
      </c>
      <c r="AQ205" s="1">
        <v>0</v>
      </c>
      <c r="AR205" s="1">
        <v>1</v>
      </c>
      <c r="AS205" s="1">
        <v>0</v>
      </c>
      <c r="AT205" s="1">
        <v>1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</v>
      </c>
      <c r="BG205" s="1">
        <v>1</v>
      </c>
      <c r="BH205" s="1">
        <v>0</v>
      </c>
      <c r="BI205" s="1">
        <v>0</v>
      </c>
      <c r="BJ205" s="1">
        <v>0</v>
      </c>
      <c r="BK205" s="1">
        <v>0</v>
      </c>
      <c r="BL205" s="1">
        <v>5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1</v>
      </c>
      <c r="BZ205" s="1">
        <v>15</v>
      </c>
      <c r="CA205" s="1">
        <v>6</v>
      </c>
      <c r="CB205" s="1">
        <v>0</v>
      </c>
      <c r="CC205" s="1">
        <v>0</v>
      </c>
      <c r="CD205" s="1">
        <v>1</v>
      </c>
      <c r="CE205" s="1">
        <v>0</v>
      </c>
      <c r="CF205" s="1">
        <v>0</v>
      </c>
      <c r="CG205" s="1">
        <v>0</v>
      </c>
      <c r="CH205" s="1">
        <v>0</v>
      </c>
      <c r="CI205" s="1">
        <v>1</v>
      </c>
      <c r="CJ205" s="1">
        <v>0</v>
      </c>
      <c r="CK205" s="1">
        <v>0</v>
      </c>
      <c r="CL205" s="1">
        <v>0</v>
      </c>
      <c r="CM205" s="1">
        <v>1</v>
      </c>
      <c r="CN205" s="1">
        <v>5</v>
      </c>
      <c r="CO205" s="1">
        <v>1</v>
      </c>
      <c r="CP205" s="1">
        <v>0</v>
      </c>
      <c r="CQ205" s="1">
        <v>0</v>
      </c>
      <c r="CR205" s="1">
        <v>4</v>
      </c>
      <c r="CS205" s="1">
        <v>0</v>
      </c>
      <c r="CT205" s="1">
        <v>1</v>
      </c>
      <c r="CU205" s="1">
        <v>0</v>
      </c>
      <c r="CV205" s="1">
        <v>8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14</v>
      </c>
      <c r="DC205" s="1">
        <v>1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1</v>
      </c>
      <c r="EA205" s="1">
        <v>0</v>
      </c>
      <c r="EB205" s="1">
        <v>1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1</v>
      </c>
      <c r="EI205" s="1">
        <v>0</v>
      </c>
      <c r="EJ205" s="1">
        <v>0</v>
      </c>
      <c r="EK205" s="1">
        <v>39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1</v>
      </c>
      <c r="EV205" s="1">
        <v>0</v>
      </c>
      <c r="EW205" s="1">
        <v>0</v>
      </c>
      <c r="EX205" s="1">
        <v>0</v>
      </c>
      <c r="EY205" s="1">
        <v>0</v>
      </c>
      <c r="EZ205" s="1">
        <v>1</v>
      </c>
      <c r="FA205" s="1">
        <v>1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7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1</v>
      </c>
      <c r="GB205" s="1">
        <v>2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1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1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3</v>
      </c>
    </row>
    <row r="206" spans="1:242" x14ac:dyDescent="0.25">
      <c r="A206">
        <v>16311</v>
      </c>
      <c r="B206">
        <v>26</v>
      </c>
      <c r="C206">
        <v>7</v>
      </c>
      <c r="D206" t="s">
        <v>225</v>
      </c>
      <c r="E206" t="s">
        <v>223</v>
      </c>
      <c r="F206">
        <v>9</v>
      </c>
      <c r="G206">
        <v>29.780416670000001</v>
      </c>
      <c r="H206">
        <v>17.892833329999998</v>
      </c>
      <c r="I206">
        <v>22.953862600000001</v>
      </c>
      <c r="J206">
        <v>94.033333330000005</v>
      </c>
      <c r="K206">
        <v>39.158333329999998</v>
      </c>
      <c r="L206">
        <v>75.068452379999997</v>
      </c>
      <c r="M206">
        <v>14.259243489999999</v>
      </c>
      <c r="N206">
        <v>0.79100000000000004</v>
      </c>
      <c r="O206">
        <v>2.44</v>
      </c>
      <c r="P206" t="s">
        <v>217</v>
      </c>
      <c r="Q206" t="s">
        <v>217</v>
      </c>
      <c r="R206" t="s">
        <v>217</v>
      </c>
      <c r="S206" t="s">
        <v>216</v>
      </c>
      <c r="T206" t="s">
        <v>216</v>
      </c>
      <c r="U206" t="s">
        <v>217</v>
      </c>
      <c r="V206">
        <f t="shared" si="12"/>
        <v>9</v>
      </c>
      <c r="W206">
        <f t="shared" si="13"/>
        <v>30</v>
      </c>
      <c r="X206">
        <f t="shared" si="14"/>
        <v>1.2857142857142858</v>
      </c>
      <c r="Y206">
        <f t="shared" si="15"/>
        <v>4.2857142857142856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5</v>
      </c>
      <c r="AN206" s="1">
        <v>0</v>
      </c>
      <c r="AO206" s="1">
        <v>0</v>
      </c>
      <c r="AP206" s="1">
        <v>2</v>
      </c>
      <c r="AQ206" s="1">
        <v>0</v>
      </c>
      <c r="AR206" s="1">
        <v>2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10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7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1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1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1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</row>
    <row r="207" spans="1:242" x14ac:dyDescent="0.25">
      <c r="A207">
        <v>16316</v>
      </c>
      <c r="B207">
        <v>11</v>
      </c>
      <c r="C207">
        <v>7</v>
      </c>
      <c r="D207" t="s">
        <v>225</v>
      </c>
      <c r="E207" t="s">
        <v>223</v>
      </c>
      <c r="F207">
        <v>8</v>
      </c>
      <c r="G207">
        <v>34.66566667</v>
      </c>
      <c r="H207">
        <v>18.90325</v>
      </c>
      <c r="I207">
        <v>24.640924600000002</v>
      </c>
      <c r="J207">
        <v>89.008333329999999</v>
      </c>
      <c r="K207">
        <v>31.975000000000001</v>
      </c>
      <c r="L207">
        <v>67.236706350000006</v>
      </c>
      <c r="M207">
        <v>14.260510569999999</v>
      </c>
      <c r="N207">
        <v>2.41</v>
      </c>
      <c r="O207">
        <v>1.65</v>
      </c>
      <c r="P207" t="s">
        <v>217</v>
      </c>
      <c r="Q207" t="s">
        <v>216</v>
      </c>
      <c r="R207" t="s">
        <v>217</v>
      </c>
      <c r="S207" t="s">
        <v>217</v>
      </c>
      <c r="T207" t="s">
        <v>217</v>
      </c>
      <c r="U207" t="s">
        <v>217</v>
      </c>
      <c r="V207">
        <f t="shared" si="12"/>
        <v>18</v>
      </c>
      <c r="W207">
        <f t="shared" si="13"/>
        <v>28</v>
      </c>
      <c r="X207">
        <f t="shared" si="14"/>
        <v>2.5714285714285716</v>
      </c>
      <c r="Y207">
        <f t="shared" si="15"/>
        <v>4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2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2</v>
      </c>
      <c r="BB207" s="1">
        <v>0</v>
      </c>
      <c r="BC207" s="1">
        <v>0</v>
      </c>
      <c r="BD207" s="1">
        <v>0</v>
      </c>
      <c r="BE207" s="1">
        <v>0</v>
      </c>
      <c r="BF207" s="1">
        <v>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1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1</v>
      </c>
      <c r="CA207" s="1">
        <v>1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1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2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1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1</v>
      </c>
      <c r="EI207" s="1">
        <v>0</v>
      </c>
      <c r="EJ207" s="1">
        <v>0</v>
      </c>
      <c r="EK207" s="1">
        <v>4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2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4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1</v>
      </c>
      <c r="FZ207" s="1">
        <v>0</v>
      </c>
      <c r="GA207" s="1">
        <v>1</v>
      </c>
      <c r="GB207" s="1">
        <v>0</v>
      </c>
      <c r="GC207" s="1">
        <v>0</v>
      </c>
      <c r="GD207" s="1">
        <v>0</v>
      </c>
      <c r="GE207" s="1">
        <v>1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</row>
    <row r="208" spans="1:242" x14ac:dyDescent="0.25">
      <c r="A208">
        <v>16321</v>
      </c>
      <c r="B208">
        <v>11</v>
      </c>
      <c r="C208">
        <v>7</v>
      </c>
      <c r="D208" t="s">
        <v>226</v>
      </c>
      <c r="E208" t="s">
        <v>223</v>
      </c>
      <c r="F208">
        <v>8</v>
      </c>
      <c r="G208">
        <v>30.125083329999999</v>
      </c>
      <c r="H208">
        <v>17.934333330000001</v>
      </c>
      <c r="I208">
        <v>22.58631647</v>
      </c>
      <c r="J208">
        <v>89.933333329999996</v>
      </c>
      <c r="K208">
        <v>44.583333330000002</v>
      </c>
      <c r="L208">
        <v>71.580456350000006</v>
      </c>
      <c r="M208">
        <v>13.404959460000001</v>
      </c>
      <c r="N208">
        <v>1.04</v>
      </c>
      <c r="O208">
        <v>2.17</v>
      </c>
      <c r="P208" t="s">
        <v>217</v>
      </c>
      <c r="Q208" t="s">
        <v>216</v>
      </c>
      <c r="R208" t="s">
        <v>217</v>
      </c>
      <c r="S208" t="s">
        <v>217</v>
      </c>
      <c r="T208" t="s">
        <v>217</v>
      </c>
      <c r="U208" t="s">
        <v>217</v>
      </c>
      <c r="V208">
        <f t="shared" si="12"/>
        <v>5</v>
      </c>
      <c r="W208">
        <f t="shared" si="13"/>
        <v>10</v>
      </c>
      <c r="X208">
        <f t="shared" si="14"/>
        <v>0.7142857142857143</v>
      </c>
      <c r="Y208">
        <f t="shared" si="15"/>
        <v>1.4285714285714286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1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3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4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1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1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</row>
    <row r="209" spans="1:242" x14ac:dyDescent="0.25">
      <c r="A209">
        <v>16323</v>
      </c>
      <c r="B209">
        <v>12</v>
      </c>
      <c r="C209">
        <v>7</v>
      </c>
      <c r="D209" t="s">
        <v>225</v>
      </c>
      <c r="E209" t="s">
        <v>223</v>
      </c>
      <c r="F209">
        <v>8</v>
      </c>
      <c r="G209">
        <v>33.930916670000002</v>
      </c>
      <c r="H209">
        <v>17.801749999999998</v>
      </c>
      <c r="I209">
        <v>24.450617560000001</v>
      </c>
      <c r="J209">
        <v>93.358333329999994</v>
      </c>
      <c r="K209">
        <v>32.216666670000002</v>
      </c>
      <c r="L209">
        <v>69.357291669999995</v>
      </c>
      <c r="M209">
        <v>14.25835822</v>
      </c>
      <c r="N209">
        <v>1.71</v>
      </c>
      <c r="O209">
        <v>1.85</v>
      </c>
      <c r="P209" t="s">
        <v>217</v>
      </c>
      <c r="Q209" t="s">
        <v>217</v>
      </c>
      <c r="R209" t="s">
        <v>217</v>
      </c>
      <c r="S209" t="s">
        <v>217</v>
      </c>
      <c r="T209" t="s">
        <v>217</v>
      </c>
      <c r="U209" t="s">
        <v>217</v>
      </c>
      <c r="V209">
        <f t="shared" si="12"/>
        <v>29</v>
      </c>
      <c r="W209">
        <f t="shared" si="13"/>
        <v>85</v>
      </c>
      <c r="X209">
        <f t="shared" si="14"/>
        <v>4.1428571428571432</v>
      </c>
      <c r="Y209">
        <f t="shared" si="15"/>
        <v>12.142857142857142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3</v>
      </c>
      <c r="AF209" s="1">
        <v>0</v>
      </c>
      <c r="AG209" s="1">
        <v>0</v>
      </c>
      <c r="AH209" s="1">
        <v>4</v>
      </c>
      <c r="AI209" s="1">
        <v>1</v>
      </c>
      <c r="AJ209" s="1">
        <v>0</v>
      </c>
      <c r="AK209" s="1">
        <v>1</v>
      </c>
      <c r="AL209" s="1">
        <v>0</v>
      </c>
      <c r="AM209" s="1">
        <v>8</v>
      </c>
      <c r="AN209" s="1">
        <v>2</v>
      </c>
      <c r="AO209" s="1">
        <v>0</v>
      </c>
      <c r="AP209" s="1">
        <v>0</v>
      </c>
      <c r="AQ209" s="1">
        <v>0</v>
      </c>
      <c r="AR209" s="1">
        <v>0</v>
      </c>
      <c r="AS209" s="1">
        <v>2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3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1</v>
      </c>
      <c r="BM209" s="1">
        <v>0</v>
      </c>
      <c r="BN209" s="1">
        <v>0</v>
      </c>
      <c r="BO209" s="1">
        <v>0</v>
      </c>
      <c r="BP209" s="1">
        <v>1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15</v>
      </c>
      <c r="CA209" s="1">
        <v>2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3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3</v>
      </c>
      <c r="CN209" s="1">
        <v>0</v>
      </c>
      <c r="CO209" s="1">
        <v>0</v>
      </c>
      <c r="CP209" s="1">
        <v>0</v>
      </c>
      <c r="CQ209" s="1">
        <v>0</v>
      </c>
      <c r="CR209" s="1">
        <v>1</v>
      </c>
      <c r="CS209" s="1">
        <v>0</v>
      </c>
      <c r="CT209" s="1">
        <v>0</v>
      </c>
      <c r="CU209" s="1">
        <v>0</v>
      </c>
      <c r="CV209" s="1">
        <v>5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3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1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1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3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2</v>
      </c>
      <c r="EV209" s="1">
        <v>0</v>
      </c>
      <c r="EW209" s="1">
        <v>0</v>
      </c>
      <c r="EX209" s="1">
        <v>0</v>
      </c>
      <c r="EY209" s="1">
        <v>0</v>
      </c>
      <c r="EZ209" s="1">
        <v>4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6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1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1</v>
      </c>
      <c r="HE209">
        <v>1</v>
      </c>
      <c r="HF209">
        <v>0</v>
      </c>
      <c r="HG209">
        <v>0</v>
      </c>
      <c r="HH209">
        <v>0</v>
      </c>
      <c r="HI209">
        <v>2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2</v>
      </c>
      <c r="IG209">
        <v>0</v>
      </c>
      <c r="IH209">
        <v>3</v>
      </c>
    </row>
    <row r="210" spans="1:242" x14ac:dyDescent="0.25">
      <c r="A210">
        <v>16328</v>
      </c>
      <c r="B210">
        <v>8</v>
      </c>
      <c r="C210">
        <v>7</v>
      </c>
      <c r="D210" t="s">
        <v>225</v>
      </c>
      <c r="E210" t="s">
        <v>223</v>
      </c>
      <c r="F210">
        <v>9</v>
      </c>
      <c r="G210">
        <v>31.8855</v>
      </c>
      <c r="H210">
        <v>18.116666670000001</v>
      </c>
      <c r="I210">
        <v>23.44410615</v>
      </c>
      <c r="J210">
        <v>91.733333329999994</v>
      </c>
      <c r="K210">
        <v>38.566666669999996</v>
      </c>
      <c r="L210">
        <v>73.5281746</v>
      </c>
      <c r="M210">
        <v>14.256975860000001</v>
      </c>
      <c r="N210">
        <v>1.37</v>
      </c>
      <c r="O210">
        <v>2.2599999999999998</v>
      </c>
      <c r="P210" t="s">
        <v>216</v>
      </c>
      <c r="Q210" t="s">
        <v>216</v>
      </c>
      <c r="R210" t="s">
        <v>217</v>
      </c>
      <c r="S210" t="s">
        <v>217</v>
      </c>
      <c r="T210" t="s">
        <v>217</v>
      </c>
      <c r="U210" t="s">
        <v>216</v>
      </c>
      <c r="V210">
        <f t="shared" si="12"/>
        <v>3</v>
      </c>
      <c r="W210">
        <f t="shared" si="13"/>
        <v>17</v>
      </c>
      <c r="X210">
        <f t="shared" si="14"/>
        <v>0.42857142857142855</v>
      </c>
      <c r="Y210">
        <f t="shared" si="15"/>
        <v>2.4285714285714284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1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2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14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</row>
    <row r="211" spans="1:242" x14ac:dyDescent="0.25">
      <c r="A211">
        <v>16334</v>
      </c>
      <c r="B211">
        <v>19</v>
      </c>
      <c r="C211">
        <v>7</v>
      </c>
      <c r="D211" t="s">
        <v>225</v>
      </c>
      <c r="E211" t="s">
        <v>223</v>
      </c>
      <c r="F211">
        <v>9</v>
      </c>
      <c r="G211">
        <v>32.902749999999997</v>
      </c>
      <c r="H211">
        <v>17.58958333</v>
      </c>
      <c r="I211">
        <v>23.877989580000001</v>
      </c>
      <c r="J211">
        <v>93.616666670000001</v>
      </c>
      <c r="K211">
        <v>37.058333330000004</v>
      </c>
      <c r="L211">
        <v>72.587797620000003</v>
      </c>
      <c r="M211">
        <v>14.259384969999999</v>
      </c>
      <c r="N211">
        <v>1.33</v>
      </c>
      <c r="O211">
        <v>2.19</v>
      </c>
      <c r="P211" t="s">
        <v>217</v>
      </c>
      <c r="Q211" t="s">
        <v>216</v>
      </c>
      <c r="R211" t="s">
        <v>216</v>
      </c>
      <c r="S211" t="s">
        <v>216</v>
      </c>
      <c r="T211" t="s">
        <v>216</v>
      </c>
      <c r="U211" t="s">
        <v>216</v>
      </c>
      <c r="V211">
        <f t="shared" si="12"/>
        <v>40</v>
      </c>
      <c r="W211">
        <f t="shared" si="13"/>
        <v>354</v>
      </c>
      <c r="X211">
        <f t="shared" si="14"/>
        <v>5.7142857142857144</v>
      </c>
      <c r="Y211">
        <f t="shared" si="15"/>
        <v>50.571428571428569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4</v>
      </c>
      <c r="AF211" s="1">
        <v>16</v>
      </c>
      <c r="AG211" s="1">
        <v>0</v>
      </c>
      <c r="AH211" s="1">
        <v>1</v>
      </c>
      <c r="AI211" s="1">
        <v>0</v>
      </c>
      <c r="AJ211" s="1">
        <v>0</v>
      </c>
      <c r="AK211" s="1">
        <v>3</v>
      </c>
      <c r="AL211" s="1">
        <v>0</v>
      </c>
      <c r="AM211" s="1">
        <v>18</v>
      </c>
      <c r="AN211" s="1">
        <v>1</v>
      </c>
      <c r="AO211" s="1">
        <v>0</v>
      </c>
      <c r="AP211" s="1">
        <v>0</v>
      </c>
      <c r="AQ211" s="1">
        <v>0</v>
      </c>
      <c r="AR211" s="1">
        <v>0</v>
      </c>
      <c r="AS211" s="1">
        <v>1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1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3</v>
      </c>
      <c r="BM211" s="1">
        <v>1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1</v>
      </c>
      <c r="BX211" s="1">
        <v>0</v>
      </c>
      <c r="BY211" s="1">
        <v>0</v>
      </c>
      <c r="BZ211" s="1">
        <v>3</v>
      </c>
      <c r="CA211" s="1">
        <v>3</v>
      </c>
      <c r="CB211" s="1">
        <v>0</v>
      </c>
      <c r="CC211" s="1">
        <v>0</v>
      </c>
      <c r="CD211" s="1">
        <v>32</v>
      </c>
      <c r="CE211" s="1">
        <v>0</v>
      </c>
      <c r="CF211" s="1">
        <v>0</v>
      </c>
      <c r="CG211" s="1">
        <v>13</v>
      </c>
      <c r="CH211" s="1">
        <v>0</v>
      </c>
      <c r="CI211" s="1">
        <v>1</v>
      </c>
      <c r="CJ211" s="1">
        <v>0</v>
      </c>
      <c r="CK211" s="1">
        <v>0</v>
      </c>
      <c r="CL211" s="1">
        <v>0</v>
      </c>
      <c r="CM211" s="1">
        <v>1</v>
      </c>
      <c r="CN211" s="1">
        <v>0</v>
      </c>
      <c r="CO211" s="1">
        <v>0</v>
      </c>
      <c r="CP211" s="1">
        <v>0</v>
      </c>
      <c r="CQ211" s="1">
        <v>0</v>
      </c>
      <c r="CR211" s="1">
        <v>1</v>
      </c>
      <c r="CS211" s="1">
        <v>0</v>
      </c>
      <c r="CT211" s="1">
        <v>70</v>
      </c>
      <c r="CU211" s="1">
        <v>0</v>
      </c>
      <c r="CV211" s="1">
        <v>36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23</v>
      </c>
      <c r="DC211" s="1">
        <v>1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2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21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21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5</v>
      </c>
      <c r="ES211" s="1">
        <v>0</v>
      </c>
      <c r="ET211" s="1">
        <v>5</v>
      </c>
      <c r="EU211" s="1">
        <v>1</v>
      </c>
      <c r="EV211" s="1">
        <v>0</v>
      </c>
      <c r="EW211" s="1">
        <v>0</v>
      </c>
      <c r="EX211" s="1">
        <v>0</v>
      </c>
      <c r="EY211" s="1">
        <v>0</v>
      </c>
      <c r="EZ211" s="1">
        <v>8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42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2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2</v>
      </c>
      <c r="GG211" s="1">
        <v>1</v>
      </c>
      <c r="GH211" s="1">
        <v>1</v>
      </c>
      <c r="GI211" s="1">
        <v>0</v>
      </c>
      <c r="GJ211" s="1">
        <v>1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1</v>
      </c>
      <c r="IA211">
        <v>0</v>
      </c>
      <c r="IB211">
        <v>0</v>
      </c>
      <c r="IC211">
        <v>0</v>
      </c>
      <c r="ID211">
        <v>0</v>
      </c>
      <c r="IE211">
        <v>1</v>
      </c>
      <c r="IF211">
        <v>2</v>
      </c>
      <c r="IG211">
        <v>0</v>
      </c>
      <c r="IH211">
        <v>3</v>
      </c>
    </row>
    <row r="212" spans="1:242" x14ac:dyDescent="0.25">
      <c r="A212">
        <v>16338</v>
      </c>
      <c r="B212">
        <v>19</v>
      </c>
      <c r="C212">
        <v>7</v>
      </c>
      <c r="D212" t="s">
        <v>226</v>
      </c>
      <c r="E212" t="s">
        <v>223</v>
      </c>
      <c r="F212">
        <v>9</v>
      </c>
      <c r="G212">
        <v>32.40516667</v>
      </c>
      <c r="H212">
        <v>16.54633333</v>
      </c>
      <c r="I212">
        <v>23.645188489999999</v>
      </c>
      <c r="J212">
        <v>94.308333329999996</v>
      </c>
      <c r="K212">
        <v>44.808333330000004</v>
      </c>
      <c r="L212">
        <v>74.381150790000007</v>
      </c>
      <c r="M212">
        <v>13.61425075</v>
      </c>
      <c r="N212">
        <v>0.79900000000000004</v>
      </c>
      <c r="O212">
        <v>2.44</v>
      </c>
      <c r="P212" t="s">
        <v>217</v>
      </c>
      <c r="Q212" t="s">
        <v>216</v>
      </c>
      <c r="R212" t="s">
        <v>216</v>
      </c>
      <c r="S212" t="s">
        <v>216</v>
      </c>
      <c r="T212" t="s">
        <v>216</v>
      </c>
      <c r="U212" t="s">
        <v>216</v>
      </c>
      <c r="V212">
        <f t="shared" si="12"/>
        <v>35</v>
      </c>
      <c r="W212">
        <f t="shared" si="13"/>
        <v>374</v>
      </c>
      <c r="X212">
        <f t="shared" si="14"/>
        <v>5</v>
      </c>
      <c r="Y212">
        <f t="shared" si="15"/>
        <v>53.428571428571431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1</v>
      </c>
      <c r="AF212" s="1">
        <v>13</v>
      </c>
      <c r="AG212" s="1">
        <v>0</v>
      </c>
      <c r="AH212" s="1">
        <v>0</v>
      </c>
      <c r="AI212" s="1">
        <v>0</v>
      </c>
      <c r="AJ212" s="1">
        <v>0</v>
      </c>
      <c r="AK212" s="1">
        <v>1</v>
      </c>
      <c r="AL212" s="1">
        <v>0</v>
      </c>
      <c r="AM212" s="1">
        <v>56</v>
      </c>
      <c r="AN212" s="1">
        <v>3</v>
      </c>
      <c r="AO212" s="1">
        <v>0</v>
      </c>
      <c r="AP212" s="1">
        <v>0</v>
      </c>
      <c r="AQ212" s="1">
        <v>0</v>
      </c>
      <c r="AR212" s="1">
        <v>0</v>
      </c>
      <c r="AS212" s="1">
        <v>1</v>
      </c>
      <c r="AT212" s="1">
        <v>1</v>
      </c>
      <c r="AU212" s="1">
        <v>0</v>
      </c>
      <c r="AV212" s="1">
        <v>0</v>
      </c>
      <c r="AW212" s="1">
        <v>0</v>
      </c>
      <c r="AX212" s="1">
        <v>1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1</v>
      </c>
      <c r="BH212" s="1">
        <v>1</v>
      </c>
      <c r="BI212" s="1">
        <v>1</v>
      </c>
      <c r="BJ212" s="1">
        <v>0</v>
      </c>
      <c r="BK212" s="1">
        <v>0</v>
      </c>
      <c r="BL212" s="1">
        <v>2</v>
      </c>
      <c r="BM212" s="1">
        <v>7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1</v>
      </c>
      <c r="BX212" s="1">
        <v>0</v>
      </c>
      <c r="BY212" s="1">
        <v>0</v>
      </c>
      <c r="BZ212" s="1">
        <v>1</v>
      </c>
      <c r="CA212" s="1">
        <v>5</v>
      </c>
      <c r="CB212" s="1">
        <v>0</v>
      </c>
      <c r="CC212" s="1">
        <v>0</v>
      </c>
      <c r="CD212" s="1">
        <v>11</v>
      </c>
      <c r="CE212" s="1">
        <v>0</v>
      </c>
      <c r="CF212" s="1">
        <v>0</v>
      </c>
      <c r="CG212" s="1">
        <v>22</v>
      </c>
      <c r="CH212" s="1">
        <v>0</v>
      </c>
      <c r="CI212" s="1">
        <v>1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74</v>
      </c>
      <c r="CU212" s="1">
        <v>0</v>
      </c>
      <c r="CV212" s="1">
        <v>15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17</v>
      </c>
      <c r="DC212" s="1">
        <v>1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3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27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55</v>
      </c>
      <c r="EL212" s="1">
        <v>0</v>
      </c>
      <c r="EM212" s="1">
        <v>0</v>
      </c>
      <c r="EN212" s="1">
        <v>1</v>
      </c>
      <c r="EO212" s="1">
        <v>0</v>
      </c>
      <c r="EP212" s="1">
        <v>0</v>
      </c>
      <c r="EQ212" s="1">
        <v>0</v>
      </c>
      <c r="ER212" s="1">
        <v>3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15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21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3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1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2</v>
      </c>
      <c r="IG212">
        <v>0</v>
      </c>
      <c r="IH212">
        <v>5</v>
      </c>
    </row>
    <row r="213" spans="1:242" x14ac:dyDescent="0.25">
      <c r="A213">
        <v>16341</v>
      </c>
      <c r="B213">
        <v>16</v>
      </c>
      <c r="C213">
        <v>7</v>
      </c>
      <c r="D213" t="s">
        <v>225</v>
      </c>
      <c r="E213" t="s">
        <v>223</v>
      </c>
      <c r="F213">
        <v>8</v>
      </c>
      <c r="G213">
        <v>34.561166669999999</v>
      </c>
      <c r="H213">
        <v>16.96683333</v>
      </c>
      <c r="I213">
        <v>23.91410218</v>
      </c>
      <c r="J213">
        <v>95.533333330000005</v>
      </c>
      <c r="K213">
        <v>34.9</v>
      </c>
      <c r="L213">
        <v>71.31646825</v>
      </c>
      <c r="M213">
        <v>14.26240346</v>
      </c>
      <c r="N213">
        <v>1.32</v>
      </c>
      <c r="O213">
        <v>2.04</v>
      </c>
      <c r="P213" t="s">
        <v>217</v>
      </c>
      <c r="Q213" t="s">
        <v>217</v>
      </c>
      <c r="R213" t="s">
        <v>217</v>
      </c>
      <c r="S213" t="s">
        <v>216</v>
      </c>
      <c r="T213" t="s">
        <v>216</v>
      </c>
      <c r="U213" t="s">
        <v>217</v>
      </c>
      <c r="V213">
        <f t="shared" si="12"/>
        <v>45</v>
      </c>
      <c r="W213">
        <f t="shared" si="13"/>
        <v>367</v>
      </c>
      <c r="X213">
        <f t="shared" si="14"/>
        <v>6.4285714285714288</v>
      </c>
      <c r="Y213">
        <f t="shared" si="15"/>
        <v>52.428571428571431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23</v>
      </c>
      <c r="AF213" s="1">
        <v>6</v>
      </c>
      <c r="AG213" s="1">
        <v>0</v>
      </c>
      <c r="AH213" s="1">
        <v>15</v>
      </c>
      <c r="AI213" s="1">
        <v>0</v>
      </c>
      <c r="AJ213" s="1">
        <v>0</v>
      </c>
      <c r="AK213" s="1">
        <v>1</v>
      </c>
      <c r="AL213" s="1">
        <v>0</v>
      </c>
      <c r="AM213" s="1">
        <v>20</v>
      </c>
      <c r="AN213" s="1">
        <v>1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1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3</v>
      </c>
      <c r="BB213" s="1">
        <v>0</v>
      </c>
      <c r="BC213" s="1">
        <v>0</v>
      </c>
      <c r="BD213" s="1">
        <v>0</v>
      </c>
      <c r="BE213" s="1">
        <v>7</v>
      </c>
      <c r="BF213" s="1">
        <v>0</v>
      </c>
      <c r="BG213" s="1">
        <v>7</v>
      </c>
      <c r="BH213" s="1">
        <v>0</v>
      </c>
      <c r="BI213" s="1">
        <v>0</v>
      </c>
      <c r="BJ213" s="1">
        <v>0</v>
      </c>
      <c r="BK213" s="1">
        <v>0</v>
      </c>
      <c r="BL213" s="1">
        <v>5</v>
      </c>
      <c r="BM213" s="1">
        <v>13</v>
      </c>
      <c r="BN213" s="1">
        <v>0</v>
      </c>
      <c r="BO213" s="1">
        <v>1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1</v>
      </c>
      <c r="BV213" s="1">
        <v>0</v>
      </c>
      <c r="BW213" s="1">
        <v>1</v>
      </c>
      <c r="BX213" s="1">
        <v>0</v>
      </c>
      <c r="BY213" s="1">
        <v>0</v>
      </c>
      <c r="BZ213" s="1">
        <v>7</v>
      </c>
      <c r="CA213" s="1">
        <v>39</v>
      </c>
      <c r="CB213" s="1">
        <v>0</v>
      </c>
      <c r="CC213" s="1">
        <v>0</v>
      </c>
      <c r="CD213" s="1">
        <v>20</v>
      </c>
      <c r="CE213" s="1">
        <v>0</v>
      </c>
      <c r="CF213" s="1">
        <v>0</v>
      </c>
      <c r="CG213" s="1">
        <v>38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1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4</v>
      </c>
      <c r="CU213" s="1">
        <v>0</v>
      </c>
      <c r="CV213" s="1">
        <v>35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44</v>
      </c>
      <c r="DC213" s="1">
        <v>5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10</v>
      </c>
      <c r="DP213" s="1">
        <v>1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1</v>
      </c>
      <c r="EA213" s="1">
        <v>0</v>
      </c>
      <c r="EB213" s="1">
        <v>17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8</v>
      </c>
      <c r="EL213" s="1">
        <v>0</v>
      </c>
      <c r="EM213" s="1">
        <v>0</v>
      </c>
      <c r="EN213" s="1">
        <v>1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1</v>
      </c>
      <c r="EX213" s="1">
        <v>0</v>
      </c>
      <c r="EY213" s="1">
        <v>0</v>
      </c>
      <c r="EZ213" s="1">
        <v>1</v>
      </c>
      <c r="FA213" s="1">
        <v>2</v>
      </c>
      <c r="FB213" s="1">
        <v>0</v>
      </c>
      <c r="FC213" s="1">
        <v>0</v>
      </c>
      <c r="FD213" s="1">
        <v>0</v>
      </c>
      <c r="FE213" s="1">
        <v>1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1</v>
      </c>
      <c r="FN213" s="1">
        <v>0</v>
      </c>
      <c r="FO213" s="1">
        <v>0</v>
      </c>
      <c r="FP213" s="1">
        <v>0</v>
      </c>
      <c r="FQ213" s="1">
        <v>0</v>
      </c>
      <c r="FR213" s="1">
        <v>2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1</v>
      </c>
      <c r="FZ213" s="1">
        <v>0</v>
      </c>
      <c r="GA213" s="1">
        <v>0</v>
      </c>
      <c r="GB213" s="1">
        <v>1</v>
      </c>
      <c r="GC213" s="1">
        <v>0</v>
      </c>
      <c r="GD213" s="1">
        <v>0</v>
      </c>
      <c r="GE213" s="1">
        <v>1</v>
      </c>
      <c r="GF213" s="1">
        <v>2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2</v>
      </c>
      <c r="HF213">
        <v>0</v>
      </c>
      <c r="HG213">
        <v>0</v>
      </c>
      <c r="HH213">
        <v>0</v>
      </c>
      <c r="HI213">
        <v>3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1</v>
      </c>
      <c r="IE213">
        <v>0</v>
      </c>
      <c r="IF213">
        <v>5</v>
      </c>
      <c r="IG213">
        <v>0</v>
      </c>
      <c r="IH213">
        <v>7</v>
      </c>
    </row>
    <row r="214" spans="1:242" x14ac:dyDescent="0.25">
      <c r="A214">
        <v>16345</v>
      </c>
      <c r="B214">
        <v>16</v>
      </c>
      <c r="C214">
        <v>7</v>
      </c>
      <c r="D214" t="s">
        <v>226</v>
      </c>
      <c r="E214" t="s">
        <v>223</v>
      </c>
      <c r="F214">
        <v>8</v>
      </c>
      <c r="G214">
        <v>31.350999999999999</v>
      </c>
      <c r="H214">
        <v>16.971083329999999</v>
      </c>
      <c r="I214">
        <v>22.134553570000001</v>
      </c>
      <c r="J214">
        <v>94.174999999999997</v>
      </c>
      <c r="K214">
        <v>43.566666669999996</v>
      </c>
      <c r="L214">
        <v>74.68864087</v>
      </c>
      <c r="M214">
        <v>13.406086309999999</v>
      </c>
      <c r="N214">
        <v>0.52</v>
      </c>
      <c r="O214">
        <v>2.2999999999999998</v>
      </c>
      <c r="P214" t="s">
        <v>217</v>
      </c>
      <c r="Q214" t="s">
        <v>217</v>
      </c>
      <c r="R214" t="s">
        <v>217</v>
      </c>
      <c r="S214" t="s">
        <v>216</v>
      </c>
      <c r="T214" t="s">
        <v>216</v>
      </c>
      <c r="U214" t="s">
        <v>217</v>
      </c>
      <c r="V214">
        <f t="shared" si="12"/>
        <v>38</v>
      </c>
      <c r="W214">
        <f t="shared" si="13"/>
        <v>207</v>
      </c>
      <c r="X214">
        <f t="shared" si="14"/>
        <v>5.4285714285714288</v>
      </c>
      <c r="Y214">
        <f t="shared" si="15"/>
        <v>29.571428571428573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5</v>
      </c>
      <c r="AF214" s="1">
        <v>2</v>
      </c>
      <c r="AG214" s="1">
        <v>0</v>
      </c>
      <c r="AH214" s="1">
        <v>8</v>
      </c>
      <c r="AI214" s="1">
        <v>1</v>
      </c>
      <c r="AJ214" s="1">
        <v>0</v>
      </c>
      <c r="AK214" s="1">
        <v>1</v>
      </c>
      <c r="AL214" s="1">
        <v>0</v>
      </c>
      <c r="AM214" s="1">
        <v>14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2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4</v>
      </c>
      <c r="BF214" s="1">
        <v>0</v>
      </c>
      <c r="BG214" s="1">
        <v>3</v>
      </c>
      <c r="BH214" s="1">
        <v>0</v>
      </c>
      <c r="BI214" s="1">
        <v>0</v>
      </c>
      <c r="BJ214" s="1">
        <v>0</v>
      </c>
      <c r="BK214" s="1">
        <v>0</v>
      </c>
      <c r="BL214" s="1">
        <v>1</v>
      </c>
      <c r="BM214" s="1">
        <v>6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1</v>
      </c>
      <c r="BX214" s="1">
        <v>0</v>
      </c>
      <c r="BY214" s="1">
        <v>0</v>
      </c>
      <c r="BZ214" s="1">
        <v>9</v>
      </c>
      <c r="CA214" s="1">
        <v>6</v>
      </c>
      <c r="CB214" s="1">
        <v>0</v>
      </c>
      <c r="CC214" s="1">
        <v>0</v>
      </c>
      <c r="CD214" s="1">
        <v>3</v>
      </c>
      <c r="CE214" s="1">
        <v>0</v>
      </c>
      <c r="CF214" s="1">
        <v>0</v>
      </c>
      <c r="CG214" s="1">
        <v>17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1</v>
      </c>
      <c r="CN214" s="1">
        <v>0</v>
      </c>
      <c r="CO214" s="1">
        <v>0</v>
      </c>
      <c r="CP214" s="1">
        <v>0</v>
      </c>
      <c r="CQ214" s="1">
        <v>0</v>
      </c>
      <c r="CR214" s="1">
        <v>2</v>
      </c>
      <c r="CS214" s="1">
        <v>0</v>
      </c>
      <c r="CT214" s="1">
        <v>7</v>
      </c>
      <c r="CU214" s="1">
        <v>0</v>
      </c>
      <c r="CV214" s="1">
        <v>34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25</v>
      </c>
      <c r="DC214" s="1">
        <v>3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4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3</v>
      </c>
      <c r="EA214" s="1">
        <v>0</v>
      </c>
      <c r="EB214" s="1">
        <v>9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2</v>
      </c>
      <c r="EI214" s="1">
        <v>0</v>
      </c>
      <c r="EJ214" s="1">
        <v>0</v>
      </c>
      <c r="EK214" s="1">
        <v>14</v>
      </c>
      <c r="EL214" s="1">
        <v>0</v>
      </c>
      <c r="EM214" s="1">
        <v>0</v>
      </c>
      <c r="EN214" s="1">
        <v>2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1</v>
      </c>
      <c r="FA214" s="1">
        <v>1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1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2</v>
      </c>
      <c r="GF214" s="1">
        <v>3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1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2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3</v>
      </c>
      <c r="IE214">
        <v>0</v>
      </c>
      <c r="IF214">
        <v>3</v>
      </c>
      <c r="IG214">
        <v>0</v>
      </c>
      <c r="IH214">
        <v>1</v>
      </c>
    </row>
    <row r="215" spans="1:242" x14ac:dyDescent="0.25">
      <c r="A215">
        <v>16347</v>
      </c>
      <c r="B215">
        <v>14</v>
      </c>
      <c r="C215">
        <v>7</v>
      </c>
      <c r="D215" t="s">
        <v>225</v>
      </c>
      <c r="E215" t="s">
        <v>223</v>
      </c>
      <c r="F215">
        <v>3</v>
      </c>
      <c r="G215">
        <v>34.443583330000003</v>
      </c>
      <c r="H215">
        <v>17.37166667</v>
      </c>
      <c r="I215">
        <v>24.259694939999999</v>
      </c>
      <c r="J215">
        <v>94.266666670000006</v>
      </c>
      <c r="K215">
        <v>28.741666670000001</v>
      </c>
      <c r="L215">
        <v>66.843253970000006</v>
      </c>
      <c r="M215">
        <v>14.260962640000001</v>
      </c>
      <c r="N215">
        <v>1.72</v>
      </c>
      <c r="O215">
        <v>1.55</v>
      </c>
      <c r="P215" t="s">
        <v>217</v>
      </c>
      <c r="Q215" t="s">
        <v>217</v>
      </c>
      <c r="R215" t="s">
        <v>217</v>
      </c>
      <c r="S215" t="s">
        <v>216</v>
      </c>
      <c r="T215" t="s">
        <v>216</v>
      </c>
      <c r="U215" t="s">
        <v>217</v>
      </c>
      <c r="V215">
        <f t="shared" si="12"/>
        <v>28</v>
      </c>
      <c r="W215">
        <f t="shared" si="13"/>
        <v>103</v>
      </c>
      <c r="X215">
        <f t="shared" si="14"/>
        <v>4</v>
      </c>
      <c r="Y215">
        <f t="shared" si="15"/>
        <v>14.714285714285714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2</v>
      </c>
      <c r="AF215" s="1">
        <v>6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12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</v>
      </c>
      <c r="AT215" s="1">
        <v>3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3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2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11</v>
      </c>
      <c r="CS215" s="1">
        <v>0</v>
      </c>
      <c r="CT215" s="1">
        <v>0</v>
      </c>
      <c r="CU215" s="1">
        <v>0</v>
      </c>
      <c r="CV215" s="1">
        <v>8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1</v>
      </c>
      <c r="DC215" s="1">
        <v>1</v>
      </c>
      <c r="DD215" s="1">
        <v>0</v>
      </c>
      <c r="DE215" s="1">
        <v>0</v>
      </c>
      <c r="DF215" s="1">
        <v>0</v>
      </c>
      <c r="DG215" s="1">
        <v>5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5</v>
      </c>
      <c r="EA215" s="1">
        <v>0</v>
      </c>
      <c r="EB215" s="1">
        <v>2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16</v>
      </c>
      <c r="EI215" s="1">
        <v>0</v>
      </c>
      <c r="EJ215" s="1">
        <v>0</v>
      </c>
      <c r="EK215" s="1">
        <v>1</v>
      </c>
      <c r="EL215" s="1">
        <v>0</v>
      </c>
      <c r="EM215" s="1">
        <v>0</v>
      </c>
      <c r="EN215" s="1">
        <v>1</v>
      </c>
      <c r="EO215" s="1">
        <v>0</v>
      </c>
      <c r="EP215" s="1">
        <v>0</v>
      </c>
      <c r="EQ215" s="1">
        <v>0</v>
      </c>
      <c r="ER215" s="1">
        <v>1</v>
      </c>
      <c r="ES215" s="1">
        <v>0</v>
      </c>
      <c r="ET215" s="1">
        <v>0</v>
      </c>
      <c r="EU215" s="1">
        <v>1</v>
      </c>
      <c r="EV215" s="1">
        <v>0</v>
      </c>
      <c r="EW215" s="1">
        <v>1</v>
      </c>
      <c r="EX215" s="1">
        <v>0</v>
      </c>
      <c r="EY215" s="1">
        <v>0</v>
      </c>
      <c r="EZ215" s="1">
        <v>10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3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1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1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1</v>
      </c>
      <c r="IA215">
        <v>0</v>
      </c>
      <c r="IB215">
        <v>1</v>
      </c>
      <c r="IC215">
        <v>0</v>
      </c>
      <c r="ID215">
        <v>0</v>
      </c>
      <c r="IE215">
        <v>0</v>
      </c>
      <c r="IF215">
        <v>2</v>
      </c>
      <c r="IG215">
        <v>0</v>
      </c>
      <c r="IH215">
        <v>0</v>
      </c>
    </row>
    <row r="216" spans="1:242" x14ac:dyDescent="0.25">
      <c r="A216">
        <v>16352</v>
      </c>
      <c r="B216">
        <v>14</v>
      </c>
      <c r="C216">
        <v>7</v>
      </c>
      <c r="D216" t="s">
        <v>226</v>
      </c>
      <c r="E216" t="s">
        <v>223</v>
      </c>
      <c r="F216">
        <v>3</v>
      </c>
      <c r="G216">
        <v>31.437999999999999</v>
      </c>
      <c r="H216">
        <v>16.433250000000001</v>
      </c>
      <c r="I216">
        <v>22.358848210000001</v>
      </c>
      <c r="J216">
        <v>93.883333329999999</v>
      </c>
      <c r="K216">
        <v>40.341666670000002</v>
      </c>
      <c r="L216">
        <v>71.348561509999996</v>
      </c>
      <c r="M216">
        <v>13.40522859</v>
      </c>
      <c r="N216">
        <v>0.66600000000000004</v>
      </c>
      <c r="O216">
        <v>1.95</v>
      </c>
      <c r="P216" t="s">
        <v>217</v>
      </c>
      <c r="Q216" t="s">
        <v>217</v>
      </c>
      <c r="R216" t="s">
        <v>217</v>
      </c>
      <c r="S216" t="s">
        <v>216</v>
      </c>
      <c r="T216" t="s">
        <v>216</v>
      </c>
      <c r="U216" t="s">
        <v>217</v>
      </c>
      <c r="V216">
        <f t="shared" si="12"/>
        <v>25</v>
      </c>
      <c r="W216">
        <f t="shared" si="13"/>
        <v>110</v>
      </c>
      <c r="X216">
        <f t="shared" si="14"/>
        <v>3.5714285714285716</v>
      </c>
      <c r="Y216">
        <f t="shared" si="15"/>
        <v>15.714285714285714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1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1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1</v>
      </c>
      <c r="CO216" s="1">
        <v>0</v>
      </c>
      <c r="CP216" s="1">
        <v>0</v>
      </c>
      <c r="CQ216" s="1">
        <v>0</v>
      </c>
      <c r="CR216" s="1">
        <v>1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3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2</v>
      </c>
      <c r="EA216" s="1">
        <v>0</v>
      </c>
      <c r="EB216" s="1">
        <v>2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23</v>
      </c>
      <c r="EI216" s="1">
        <v>0</v>
      </c>
      <c r="EJ216" s="1">
        <v>0</v>
      </c>
      <c r="EK216" s="1">
        <v>22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2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9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1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1</v>
      </c>
      <c r="GG216" s="1">
        <v>1</v>
      </c>
      <c r="GH216" s="1">
        <v>11</v>
      </c>
      <c r="GI216" s="1">
        <v>12</v>
      </c>
      <c r="GJ216" s="1">
        <v>6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2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2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1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2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1</v>
      </c>
      <c r="IA216">
        <v>0</v>
      </c>
      <c r="IB216">
        <v>1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</row>
    <row r="217" spans="1:242" x14ac:dyDescent="0.25">
      <c r="A217">
        <v>16355</v>
      </c>
      <c r="B217">
        <v>23</v>
      </c>
      <c r="C217">
        <v>14</v>
      </c>
      <c r="D217" t="s">
        <v>225</v>
      </c>
      <c r="E217" t="s">
        <v>223</v>
      </c>
      <c r="F217">
        <v>5</v>
      </c>
      <c r="G217">
        <v>35.795083329999997</v>
      </c>
      <c r="H217">
        <v>17.456666670000001</v>
      </c>
      <c r="I217">
        <v>24.6890404</v>
      </c>
      <c r="J217">
        <v>93.65</v>
      </c>
      <c r="K217">
        <v>31.108333330000001</v>
      </c>
      <c r="L217">
        <v>67.68707612</v>
      </c>
      <c r="M217">
        <v>14.26399391</v>
      </c>
      <c r="N217">
        <v>1.92</v>
      </c>
      <c r="O217">
        <v>1.69</v>
      </c>
      <c r="P217" t="s">
        <v>217</v>
      </c>
      <c r="Q217" t="s">
        <v>217</v>
      </c>
      <c r="R217" t="s">
        <v>216</v>
      </c>
      <c r="S217" t="s">
        <v>216</v>
      </c>
      <c r="T217" t="s">
        <v>216</v>
      </c>
      <c r="U217" t="s">
        <v>217</v>
      </c>
      <c r="V217">
        <f t="shared" si="12"/>
        <v>30</v>
      </c>
      <c r="W217">
        <f t="shared" si="13"/>
        <v>421</v>
      </c>
      <c r="X217">
        <f t="shared" si="14"/>
        <v>2.1428571428571428</v>
      </c>
      <c r="Y217">
        <f t="shared" si="15"/>
        <v>30.071428571428573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7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1</v>
      </c>
      <c r="AL217" s="1">
        <v>0</v>
      </c>
      <c r="AM217" s="1">
        <v>69</v>
      </c>
      <c r="AN217" s="1">
        <v>0</v>
      </c>
      <c r="AO217" s="1">
        <v>0</v>
      </c>
      <c r="AP217" s="1">
        <v>1</v>
      </c>
      <c r="AQ217" s="1">
        <v>0</v>
      </c>
      <c r="AR217" s="1">
        <v>0</v>
      </c>
      <c r="AS217" s="1">
        <v>1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2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1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19</v>
      </c>
      <c r="CA217" s="1">
        <v>0</v>
      </c>
      <c r="CB217" s="1">
        <v>0</v>
      </c>
      <c r="CC217" s="1">
        <v>0</v>
      </c>
      <c r="CD217" s="1">
        <v>22</v>
      </c>
      <c r="CE217" s="1">
        <v>0</v>
      </c>
      <c r="CF217" s="1">
        <v>0</v>
      </c>
      <c r="CG217" s="1">
        <v>44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3</v>
      </c>
      <c r="CS217" s="1">
        <v>0</v>
      </c>
      <c r="CT217" s="1">
        <v>2</v>
      </c>
      <c r="CU217" s="1">
        <v>0</v>
      </c>
      <c r="CV217" s="1">
        <v>1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28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6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9</v>
      </c>
      <c r="EA217" s="1">
        <v>0</v>
      </c>
      <c r="EB217" s="1">
        <v>5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1</v>
      </c>
      <c r="EK217" s="1">
        <v>167</v>
      </c>
      <c r="EL217" s="1">
        <v>0</v>
      </c>
      <c r="EM217" s="1">
        <v>0</v>
      </c>
      <c r="EN217" s="1">
        <v>2</v>
      </c>
      <c r="EO217" s="1">
        <v>0</v>
      </c>
      <c r="EP217" s="1">
        <v>0</v>
      </c>
      <c r="EQ217" s="1">
        <v>0</v>
      </c>
      <c r="ER217" s="1">
        <v>2</v>
      </c>
      <c r="ES217" s="1">
        <v>0</v>
      </c>
      <c r="ET217" s="1">
        <v>2</v>
      </c>
      <c r="EU217" s="1">
        <v>3</v>
      </c>
      <c r="EV217" s="1">
        <v>0</v>
      </c>
      <c r="EW217" s="1">
        <v>0</v>
      </c>
      <c r="EX217" s="1">
        <v>0</v>
      </c>
      <c r="EY217" s="1">
        <v>0</v>
      </c>
      <c r="EZ217" s="1">
        <v>3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14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1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1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2</v>
      </c>
      <c r="HF217">
        <v>1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</row>
    <row r="218" spans="1:242" x14ac:dyDescent="0.25">
      <c r="A218">
        <v>16358</v>
      </c>
      <c r="B218">
        <v>23</v>
      </c>
      <c r="C218">
        <v>7</v>
      </c>
      <c r="D218" t="s">
        <v>226</v>
      </c>
      <c r="E218" t="s">
        <v>223</v>
      </c>
      <c r="F218">
        <v>5</v>
      </c>
      <c r="G218">
        <v>34.162166669999998</v>
      </c>
      <c r="H218">
        <v>15.907</v>
      </c>
      <c r="I218">
        <v>22.961103170000001</v>
      </c>
      <c r="J218">
        <v>93.733333329999994</v>
      </c>
      <c r="K218">
        <v>38.666666669999998</v>
      </c>
      <c r="L218">
        <v>71.072123020000006</v>
      </c>
      <c r="M218">
        <v>13.40703308</v>
      </c>
      <c r="N218">
        <v>1.02</v>
      </c>
      <c r="O218">
        <v>1.79</v>
      </c>
      <c r="P218" t="s">
        <v>217</v>
      </c>
      <c r="Q218" t="s">
        <v>217</v>
      </c>
      <c r="R218" t="s">
        <v>216</v>
      </c>
      <c r="S218" t="s">
        <v>216</v>
      </c>
      <c r="T218" t="s">
        <v>216</v>
      </c>
      <c r="U218" t="s">
        <v>217</v>
      </c>
      <c r="V218">
        <f t="shared" si="12"/>
        <v>18</v>
      </c>
      <c r="W218">
        <f t="shared" si="13"/>
        <v>173</v>
      </c>
      <c r="X218">
        <f t="shared" si="14"/>
        <v>2.5714285714285716</v>
      </c>
      <c r="Y218">
        <f t="shared" si="15"/>
        <v>24.714285714285715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1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13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2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15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1</v>
      </c>
      <c r="CS218" s="1">
        <v>0</v>
      </c>
      <c r="CT218" s="1">
        <v>3</v>
      </c>
      <c r="CU218" s="1">
        <v>0</v>
      </c>
      <c r="CV218" s="1">
        <v>1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18</v>
      </c>
      <c r="DC218" s="1">
        <v>0</v>
      </c>
      <c r="DD218" s="1">
        <v>0</v>
      </c>
      <c r="DE218" s="1">
        <v>0</v>
      </c>
      <c r="DF218" s="1">
        <v>0</v>
      </c>
      <c r="DG218" s="1">
        <v>1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1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4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1</v>
      </c>
      <c r="EH218" s="1">
        <v>4</v>
      </c>
      <c r="EI218" s="1">
        <v>0</v>
      </c>
      <c r="EJ218" s="1">
        <v>8</v>
      </c>
      <c r="EK218" s="1">
        <v>91</v>
      </c>
      <c r="EL218" s="1">
        <v>0</v>
      </c>
      <c r="EM218" s="1">
        <v>0</v>
      </c>
      <c r="EN218" s="1">
        <v>2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5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2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</row>
    <row r="219" spans="1:242" x14ac:dyDescent="0.25">
      <c r="A219">
        <v>16365</v>
      </c>
      <c r="B219">
        <v>21</v>
      </c>
      <c r="C219">
        <v>7</v>
      </c>
      <c r="D219" t="s">
        <v>226</v>
      </c>
      <c r="E219" t="s">
        <v>223</v>
      </c>
      <c r="F219">
        <v>5</v>
      </c>
      <c r="G219">
        <v>32.669333330000001</v>
      </c>
      <c r="H219">
        <v>16.020166669999998</v>
      </c>
      <c r="I219">
        <v>23.220144350000002</v>
      </c>
      <c r="J219">
        <v>93.025000000000006</v>
      </c>
      <c r="K219">
        <v>33.533333329999998</v>
      </c>
      <c r="L219">
        <v>68.266666670000006</v>
      </c>
      <c r="M219">
        <v>13.409808030000001</v>
      </c>
      <c r="N219">
        <v>1.1299999999999999</v>
      </c>
      <c r="O219">
        <v>1.45</v>
      </c>
      <c r="P219" t="s">
        <v>217</v>
      </c>
      <c r="Q219" t="s">
        <v>217</v>
      </c>
      <c r="R219" t="s">
        <v>217</v>
      </c>
      <c r="S219" t="s">
        <v>217</v>
      </c>
      <c r="T219" t="s">
        <v>217</v>
      </c>
      <c r="U219" t="s">
        <v>217</v>
      </c>
      <c r="V219">
        <f t="shared" si="12"/>
        <v>2</v>
      </c>
      <c r="W219">
        <f t="shared" si="13"/>
        <v>7</v>
      </c>
      <c r="X219">
        <f t="shared" si="14"/>
        <v>0.2857142857142857</v>
      </c>
      <c r="Y219">
        <f t="shared" si="15"/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5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2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</row>
    <row r="220" spans="1:242" x14ac:dyDescent="0.25">
      <c r="A220">
        <v>16371</v>
      </c>
      <c r="B220">
        <v>7</v>
      </c>
      <c r="C220">
        <v>7</v>
      </c>
      <c r="D220" t="s">
        <v>227</v>
      </c>
      <c r="E220" t="s">
        <v>215</v>
      </c>
      <c r="F220">
        <v>3</v>
      </c>
      <c r="G220">
        <v>37.28766667</v>
      </c>
      <c r="H220">
        <v>17.482416669999999</v>
      </c>
      <c r="I220">
        <v>24.19067609</v>
      </c>
      <c r="J220">
        <v>95.8</v>
      </c>
      <c r="K220">
        <v>27.991666670000001</v>
      </c>
      <c r="L220">
        <v>66.498164680000002</v>
      </c>
      <c r="M220">
        <v>12.472559990000001</v>
      </c>
      <c r="N220">
        <v>1.52</v>
      </c>
      <c r="O220">
        <v>1.18</v>
      </c>
      <c r="P220" t="s">
        <v>216</v>
      </c>
      <c r="Q220" t="s">
        <v>216</v>
      </c>
      <c r="R220" t="s">
        <v>217</v>
      </c>
      <c r="S220" t="s">
        <v>216</v>
      </c>
      <c r="T220" t="s">
        <v>216</v>
      </c>
      <c r="U220" t="s">
        <v>217</v>
      </c>
      <c r="V220">
        <f t="shared" si="12"/>
        <v>30</v>
      </c>
      <c r="W220">
        <f t="shared" si="13"/>
        <v>174</v>
      </c>
      <c r="X220">
        <f t="shared" si="14"/>
        <v>4.2857142857142856</v>
      </c>
      <c r="Y220">
        <f t="shared" si="15"/>
        <v>24.857142857142858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1</v>
      </c>
      <c r="AI220" s="1">
        <v>0</v>
      </c>
      <c r="AJ220" s="1">
        <v>0</v>
      </c>
      <c r="AK220" s="1">
        <v>7</v>
      </c>
      <c r="AL220" s="1">
        <v>0</v>
      </c>
      <c r="AM220" s="1">
        <v>6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4</v>
      </c>
      <c r="BM220" s="1">
        <v>12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1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8</v>
      </c>
      <c r="CA220" s="1">
        <v>1</v>
      </c>
      <c r="CB220" s="1">
        <v>0</v>
      </c>
      <c r="CC220" s="1">
        <v>0</v>
      </c>
      <c r="CD220" s="1">
        <v>2</v>
      </c>
      <c r="CE220" s="1">
        <v>0</v>
      </c>
      <c r="CF220" s="1">
        <v>3</v>
      </c>
      <c r="CG220" s="1">
        <v>7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35</v>
      </c>
      <c r="CS220" s="1">
        <v>0</v>
      </c>
      <c r="CT220" s="1">
        <v>4</v>
      </c>
      <c r="CU220" s="1">
        <v>0</v>
      </c>
      <c r="CV220" s="1">
        <v>3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1</v>
      </c>
      <c r="DC220" s="1">
        <v>1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12</v>
      </c>
      <c r="EA220" s="1">
        <v>0</v>
      </c>
      <c r="EB220" s="1">
        <v>2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13</v>
      </c>
      <c r="EI220" s="1">
        <v>0</v>
      </c>
      <c r="EJ220" s="1">
        <v>0</v>
      </c>
      <c r="EK220" s="1">
        <v>36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1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5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1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1</v>
      </c>
      <c r="GD220" s="1">
        <v>0</v>
      </c>
      <c r="GE220" s="1">
        <v>2</v>
      </c>
      <c r="GF220" s="1">
        <v>1</v>
      </c>
      <c r="GG220" s="1">
        <v>0</v>
      </c>
      <c r="GH220" s="1">
        <v>0</v>
      </c>
      <c r="GI220" s="1">
        <v>1</v>
      </c>
      <c r="GJ220" s="1">
        <v>1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1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</row>
    <row r="221" spans="1:242" x14ac:dyDescent="0.25">
      <c r="A221">
        <v>16376</v>
      </c>
      <c r="B221">
        <v>27</v>
      </c>
      <c r="C221">
        <v>7</v>
      </c>
      <c r="D221" t="s">
        <v>226</v>
      </c>
      <c r="E221" t="s">
        <v>223</v>
      </c>
      <c r="F221">
        <v>3</v>
      </c>
      <c r="G221">
        <v>29.846833329999999</v>
      </c>
      <c r="H221">
        <v>16.1175</v>
      </c>
      <c r="I221">
        <v>21.478321430000001</v>
      </c>
      <c r="J221">
        <v>90.716666669999995</v>
      </c>
      <c r="K221">
        <v>43.975000000000001</v>
      </c>
      <c r="L221">
        <v>73.998164680000002</v>
      </c>
      <c r="M221">
        <v>13.406886030000001</v>
      </c>
      <c r="N221">
        <v>0.56399999999999995</v>
      </c>
      <c r="O221">
        <v>2.0299999999999998</v>
      </c>
      <c r="P221" t="s">
        <v>217</v>
      </c>
      <c r="Q221" t="s">
        <v>217</v>
      </c>
      <c r="R221" t="s">
        <v>217</v>
      </c>
      <c r="S221" t="s">
        <v>217</v>
      </c>
      <c r="T221" t="s">
        <v>217</v>
      </c>
      <c r="U221" t="s">
        <v>216</v>
      </c>
      <c r="V221">
        <f t="shared" si="12"/>
        <v>11</v>
      </c>
      <c r="W221">
        <f t="shared" si="13"/>
        <v>35</v>
      </c>
      <c r="X221">
        <f t="shared" si="14"/>
        <v>1.5714285714285714</v>
      </c>
      <c r="Y221">
        <f t="shared" si="15"/>
        <v>5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13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1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2</v>
      </c>
      <c r="BB221" s="1">
        <v>0</v>
      </c>
      <c r="BC221" s="1">
        <v>0</v>
      </c>
      <c r="BD221" s="1">
        <v>0</v>
      </c>
      <c r="BE221" s="1">
        <v>0</v>
      </c>
      <c r="BF221" s="1">
        <v>3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2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1</v>
      </c>
      <c r="CA221" s="1">
        <v>0</v>
      </c>
      <c r="CB221" s="1">
        <v>0</v>
      </c>
      <c r="CC221" s="1">
        <v>0</v>
      </c>
      <c r="CD221" s="1">
        <v>2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1</v>
      </c>
      <c r="CU221" s="1">
        <v>0</v>
      </c>
      <c r="CV221" s="1">
        <v>8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1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1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</row>
    <row r="222" spans="1:242" x14ac:dyDescent="0.25">
      <c r="A222">
        <v>16381</v>
      </c>
      <c r="B222">
        <v>13</v>
      </c>
      <c r="C222">
        <v>5</v>
      </c>
      <c r="D222" t="s">
        <v>226</v>
      </c>
      <c r="E222" t="s">
        <v>223</v>
      </c>
      <c r="F222">
        <v>1</v>
      </c>
      <c r="G222">
        <v>31.423833330000001</v>
      </c>
      <c r="H222">
        <v>14.159916669999999</v>
      </c>
      <c r="I222">
        <v>21.412384419999999</v>
      </c>
      <c r="J222">
        <v>96.258333329999999</v>
      </c>
      <c r="K222">
        <v>38.4</v>
      </c>
      <c r="L222">
        <v>72.303273809999993</v>
      </c>
      <c r="M222">
        <v>13.408775869999999</v>
      </c>
      <c r="N222" s="8">
        <v>8.7400000000000005E-2</v>
      </c>
      <c r="O222">
        <v>1.72</v>
      </c>
      <c r="P222" t="s">
        <v>217</v>
      </c>
      <c r="Q222" t="s">
        <v>217</v>
      </c>
      <c r="R222" t="s">
        <v>217</v>
      </c>
      <c r="S222" t="s">
        <v>216</v>
      </c>
      <c r="T222" t="s">
        <v>216</v>
      </c>
      <c r="U222" t="s">
        <v>217</v>
      </c>
      <c r="V222">
        <f t="shared" si="12"/>
        <v>28</v>
      </c>
      <c r="W222">
        <f t="shared" si="13"/>
        <v>148</v>
      </c>
      <c r="X222">
        <f t="shared" si="14"/>
        <v>5.6</v>
      </c>
      <c r="Y222">
        <f t="shared" si="15"/>
        <v>29.6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0</v>
      </c>
      <c r="AJ222" s="1">
        <v>1</v>
      </c>
      <c r="AK222" s="1">
        <v>0</v>
      </c>
      <c r="AL222" s="1">
        <v>0</v>
      </c>
      <c r="AM222" s="1">
        <v>6</v>
      </c>
      <c r="AN222" s="1">
        <v>0</v>
      </c>
      <c r="AO222" s="1">
        <v>0</v>
      </c>
      <c r="AP222" s="1">
        <v>3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7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1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1</v>
      </c>
      <c r="BX222" s="1">
        <v>0</v>
      </c>
      <c r="BY222" s="1">
        <v>1</v>
      </c>
      <c r="BZ222" s="1">
        <v>5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1</v>
      </c>
      <c r="CG222" s="1">
        <v>0</v>
      </c>
      <c r="CH222" s="1">
        <v>53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9</v>
      </c>
      <c r="CS222" s="1">
        <v>0</v>
      </c>
      <c r="CT222" s="1">
        <v>0</v>
      </c>
      <c r="CU222" s="1">
        <v>0</v>
      </c>
      <c r="CV222" s="1">
        <v>12</v>
      </c>
      <c r="CW222" s="1">
        <v>10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1</v>
      </c>
      <c r="DF222" s="1">
        <v>0</v>
      </c>
      <c r="DG222" s="1">
        <v>2</v>
      </c>
      <c r="DH222" s="1">
        <v>0</v>
      </c>
      <c r="DI222" s="1">
        <v>0</v>
      </c>
      <c r="DJ222" s="1">
        <v>0</v>
      </c>
      <c r="DK222" s="1">
        <v>2</v>
      </c>
      <c r="DL222" s="1">
        <v>0</v>
      </c>
      <c r="DM222" s="1">
        <v>1</v>
      </c>
      <c r="DN222" s="1">
        <v>0</v>
      </c>
      <c r="DO222" s="1">
        <v>1</v>
      </c>
      <c r="DP222" s="1">
        <v>0</v>
      </c>
      <c r="DQ222" s="1">
        <v>0</v>
      </c>
      <c r="DR222" s="1">
        <v>3</v>
      </c>
      <c r="DS222" s="1">
        <v>0</v>
      </c>
      <c r="DT222" s="1">
        <v>1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4</v>
      </c>
      <c r="EI222" s="1">
        <v>0</v>
      </c>
      <c r="EJ222" s="1">
        <v>0</v>
      </c>
      <c r="EK222" s="1">
        <v>4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7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6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2</v>
      </c>
      <c r="GI222" s="1">
        <v>0</v>
      </c>
      <c r="GJ222" s="1">
        <v>1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2</v>
      </c>
    </row>
    <row r="223" spans="1:242" x14ac:dyDescent="0.25">
      <c r="A223">
        <v>16387</v>
      </c>
      <c r="B223">
        <v>17</v>
      </c>
      <c r="C223">
        <v>7</v>
      </c>
      <c r="D223" t="s">
        <v>226</v>
      </c>
      <c r="E223" t="s">
        <v>223</v>
      </c>
      <c r="F223">
        <v>6</v>
      </c>
      <c r="G223">
        <v>32.835583329999999</v>
      </c>
      <c r="H223">
        <v>15.35191667</v>
      </c>
      <c r="I223">
        <v>22.635278270000001</v>
      </c>
      <c r="J223">
        <v>94.383333329999999</v>
      </c>
      <c r="K223">
        <v>36.6</v>
      </c>
      <c r="L223">
        <v>69.546279760000004</v>
      </c>
      <c r="M223">
        <v>13.409259</v>
      </c>
      <c r="N223">
        <v>0.78900000000000003</v>
      </c>
      <c r="O223">
        <v>1.6</v>
      </c>
      <c r="P223" t="s">
        <v>216</v>
      </c>
      <c r="Q223" t="s">
        <v>217</v>
      </c>
      <c r="R223" t="s">
        <v>217</v>
      </c>
      <c r="S223" t="s">
        <v>217</v>
      </c>
      <c r="T223" t="s">
        <v>217</v>
      </c>
      <c r="U223" t="s">
        <v>216</v>
      </c>
      <c r="V223">
        <f t="shared" si="12"/>
        <v>24</v>
      </c>
      <c r="W223">
        <f t="shared" si="13"/>
        <v>293</v>
      </c>
      <c r="X223">
        <f t="shared" si="14"/>
        <v>3.4285714285714284</v>
      </c>
      <c r="Y223">
        <f t="shared" si="15"/>
        <v>41.857142857142854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80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1</v>
      </c>
      <c r="AU223" s="1">
        <v>0</v>
      </c>
      <c r="AV223" s="1">
        <v>0</v>
      </c>
      <c r="AW223" s="1">
        <v>0</v>
      </c>
      <c r="AX223" s="1">
        <v>2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2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2</v>
      </c>
      <c r="BX223" s="1">
        <v>0</v>
      </c>
      <c r="BY223" s="1">
        <v>0</v>
      </c>
      <c r="BZ223" s="1">
        <v>3</v>
      </c>
      <c r="CA223" s="1">
        <v>0</v>
      </c>
      <c r="CB223" s="1">
        <v>0</v>
      </c>
      <c r="CC223" s="1">
        <v>0</v>
      </c>
      <c r="CD223" s="1">
        <v>1</v>
      </c>
      <c r="CE223" s="1">
        <v>0</v>
      </c>
      <c r="CF223" s="1">
        <v>0</v>
      </c>
      <c r="CG223" s="1">
        <v>86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4</v>
      </c>
      <c r="CO223" s="1">
        <v>0</v>
      </c>
      <c r="CP223" s="1">
        <v>0</v>
      </c>
      <c r="CQ223" s="1">
        <v>0</v>
      </c>
      <c r="CR223" s="1">
        <v>1</v>
      </c>
      <c r="CS223" s="1">
        <v>0</v>
      </c>
      <c r="CT223" s="1">
        <v>1</v>
      </c>
      <c r="CU223" s="1">
        <v>0</v>
      </c>
      <c r="CV223" s="1">
        <v>0</v>
      </c>
      <c r="CW223" s="1">
        <v>1</v>
      </c>
      <c r="CX223" s="1">
        <v>0</v>
      </c>
      <c r="CY223" s="1">
        <v>0</v>
      </c>
      <c r="CZ223" s="1">
        <v>0</v>
      </c>
      <c r="DA223" s="1">
        <v>0</v>
      </c>
      <c r="DB223" s="1">
        <v>44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3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13</v>
      </c>
      <c r="EI223" s="1">
        <v>0</v>
      </c>
      <c r="EJ223" s="1">
        <v>0</v>
      </c>
      <c r="EK223" s="1">
        <v>0</v>
      </c>
      <c r="EL223" s="1">
        <v>27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1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7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6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3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2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</row>
    <row r="224" spans="1:242" x14ac:dyDescent="0.25">
      <c r="A224">
        <v>16393</v>
      </c>
      <c r="B224">
        <v>31</v>
      </c>
      <c r="C224">
        <v>6</v>
      </c>
      <c r="D224" t="s">
        <v>226</v>
      </c>
      <c r="E224" t="s">
        <v>223</v>
      </c>
      <c r="F224">
        <v>4</v>
      </c>
      <c r="G224">
        <v>31.034083330000001</v>
      </c>
      <c r="H224">
        <v>15.53908333</v>
      </c>
      <c r="I224">
        <v>21.767745040000001</v>
      </c>
      <c r="J224">
        <v>93.566666670000004</v>
      </c>
      <c r="K224">
        <v>43.358333330000001</v>
      </c>
      <c r="L224">
        <v>72.811011899999997</v>
      </c>
      <c r="M224">
        <v>13.406456370000001</v>
      </c>
      <c r="N224">
        <v>0.41599999999999998</v>
      </c>
      <c r="O224">
        <v>2.02</v>
      </c>
      <c r="P224" t="s">
        <v>217</v>
      </c>
      <c r="Q224" t="s">
        <v>216</v>
      </c>
      <c r="R224" t="s">
        <v>217</v>
      </c>
      <c r="S224" t="s">
        <v>216</v>
      </c>
      <c r="T224" t="s">
        <v>216</v>
      </c>
      <c r="U224" t="s">
        <v>217</v>
      </c>
      <c r="V224">
        <f t="shared" si="12"/>
        <v>22</v>
      </c>
      <c r="W224">
        <f t="shared" si="13"/>
        <v>49</v>
      </c>
      <c r="X224">
        <f t="shared" si="14"/>
        <v>3.6666666666666665</v>
      </c>
      <c r="Y224">
        <f t="shared" si="15"/>
        <v>8.1666666666666661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1</v>
      </c>
      <c r="AL224" s="1">
        <v>0</v>
      </c>
      <c r="AM224" s="1">
        <v>3</v>
      </c>
      <c r="AN224" s="1">
        <v>2</v>
      </c>
      <c r="AO224" s="1">
        <v>0</v>
      </c>
      <c r="AP224" s="1">
        <v>1</v>
      </c>
      <c r="AQ224" s="1">
        <v>0</v>
      </c>
      <c r="AR224" s="1">
        <v>0</v>
      </c>
      <c r="AS224" s="1">
        <v>0</v>
      </c>
      <c r="AT224" s="1">
        <v>1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1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1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1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1</v>
      </c>
      <c r="CS224" s="1">
        <v>0</v>
      </c>
      <c r="CT224" s="1">
        <v>2</v>
      </c>
      <c r="CU224" s="1">
        <v>0</v>
      </c>
      <c r="CV224" s="1">
        <v>2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2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2</v>
      </c>
      <c r="DT224" s="1">
        <v>0</v>
      </c>
      <c r="DU224" s="1">
        <v>0</v>
      </c>
      <c r="DV224" s="1">
        <v>0</v>
      </c>
      <c r="DW224" s="1">
        <v>0</v>
      </c>
      <c r="DX224" s="1">
        <v>1</v>
      </c>
      <c r="DY224" s="1">
        <v>0</v>
      </c>
      <c r="DZ224" s="1">
        <v>3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2</v>
      </c>
      <c r="EI224" s="1">
        <v>0</v>
      </c>
      <c r="EJ224" s="1">
        <v>0</v>
      </c>
      <c r="EK224" s="1">
        <v>14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1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5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1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</row>
    <row r="225" spans="1:242" x14ac:dyDescent="0.25">
      <c r="A225">
        <v>16397</v>
      </c>
      <c r="B225">
        <v>3</v>
      </c>
      <c r="C225">
        <v>7</v>
      </c>
      <c r="D225" t="s">
        <v>226</v>
      </c>
      <c r="E225" t="s">
        <v>223</v>
      </c>
      <c r="F225">
        <v>9</v>
      </c>
      <c r="G225">
        <v>31.190416670000001</v>
      </c>
      <c r="H225">
        <v>17.690583329999999</v>
      </c>
      <c r="I225">
        <v>22.17611161</v>
      </c>
      <c r="J225">
        <v>92.474999999999994</v>
      </c>
      <c r="K225">
        <v>44.341666670000002</v>
      </c>
      <c r="L225">
        <v>74.929166670000001</v>
      </c>
      <c r="M225">
        <v>13.40303926</v>
      </c>
      <c r="N225">
        <v>0.73299999999999998</v>
      </c>
      <c r="O225">
        <v>2.35</v>
      </c>
      <c r="P225" t="s">
        <v>216</v>
      </c>
      <c r="Q225" t="s">
        <v>217</v>
      </c>
      <c r="R225" t="s">
        <v>217</v>
      </c>
      <c r="S225" t="s">
        <v>217</v>
      </c>
      <c r="T225" t="s">
        <v>217</v>
      </c>
      <c r="U225" t="s">
        <v>216</v>
      </c>
      <c r="V225">
        <f t="shared" si="12"/>
        <v>13</v>
      </c>
      <c r="W225">
        <f t="shared" si="13"/>
        <v>31</v>
      </c>
      <c r="X225">
        <f t="shared" si="14"/>
        <v>1.8571428571428572</v>
      </c>
      <c r="Y225">
        <f t="shared" si="15"/>
        <v>4.4285714285714288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1</v>
      </c>
      <c r="AL225" s="1">
        <v>0</v>
      </c>
      <c r="AM225" s="1">
        <v>6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4</v>
      </c>
      <c r="BN225" s="1">
        <v>0</v>
      </c>
      <c r="BO225" s="1">
        <v>0</v>
      </c>
      <c r="BP225" s="1">
        <v>1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2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2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1</v>
      </c>
      <c r="CU225" s="1">
        <v>0</v>
      </c>
      <c r="CV225" s="1">
        <v>2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7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1</v>
      </c>
      <c r="EA225" s="1">
        <v>0</v>
      </c>
      <c r="EB225" s="1">
        <v>1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2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1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</row>
    <row r="226" spans="1:242" x14ac:dyDescent="0.25">
      <c r="A226">
        <v>16406</v>
      </c>
      <c r="B226">
        <v>24</v>
      </c>
      <c r="C226">
        <v>7</v>
      </c>
      <c r="D226" t="s">
        <v>226</v>
      </c>
      <c r="E226" t="s">
        <v>223</v>
      </c>
      <c r="F226">
        <v>3</v>
      </c>
      <c r="G226">
        <v>38.097999999999999</v>
      </c>
      <c r="H226">
        <v>20.422166669999999</v>
      </c>
      <c r="I226">
        <v>26.22545238</v>
      </c>
      <c r="J226">
        <v>95.7</v>
      </c>
      <c r="K226">
        <v>32.299999999999997</v>
      </c>
      <c r="L226">
        <v>70.26522817</v>
      </c>
      <c r="M226">
        <v>13.4081125</v>
      </c>
      <c r="N226">
        <v>2.1800000000000002</v>
      </c>
      <c r="O226">
        <v>2.15</v>
      </c>
      <c r="P226" t="s">
        <v>217</v>
      </c>
      <c r="Q226" t="s">
        <v>217</v>
      </c>
      <c r="R226" t="s">
        <v>217</v>
      </c>
      <c r="S226" t="s">
        <v>217</v>
      </c>
      <c r="T226" t="s">
        <v>217</v>
      </c>
      <c r="U226" t="s">
        <v>217</v>
      </c>
      <c r="V226">
        <f t="shared" si="12"/>
        <v>20</v>
      </c>
      <c r="W226">
        <f t="shared" si="13"/>
        <v>68</v>
      </c>
      <c r="X226">
        <f t="shared" si="14"/>
        <v>2.8571428571428572</v>
      </c>
      <c r="Y226">
        <f t="shared" si="15"/>
        <v>9.7142857142857135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17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1</v>
      </c>
      <c r="AU226" s="1">
        <v>0</v>
      </c>
      <c r="AV226" s="1">
        <v>0</v>
      </c>
      <c r="AW226" s="1">
        <v>0</v>
      </c>
      <c r="AX226" s="1">
        <v>2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1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2</v>
      </c>
      <c r="BX226" s="1">
        <v>0</v>
      </c>
      <c r="BY226" s="1">
        <v>0</v>
      </c>
      <c r="BZ226" s="1">
        <v>7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9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2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2</v>
      </c>
      <c r="DC226" s="1">
        <v>0</v>
      </c>
      <c r="DD226" s="1">
        <v>0</v>
      </c>
      <c r="DE226" s="1">
        <v>0</v>
      </c>
      <c r="DF226" s="1">
        <v>0</v>
      </c>
      <c r="DG226" s="1">
        <v>6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1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3</v>
      </c>
      <c r="EI226" s="1">
        <v>0</v>
      </c>
      <c r="EJ226" s="1">
        <v>0</v>
      </c>
      <c r="EK226" s="1">
        <v>6</v>
      </c>
      <c r="EL226" s="1">
        <v>0</v>
      </c>
      <c r="EM226" s="1">
        <v>0</v>
      </c>
      <c r="EN226" s="1">
        <v>1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1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1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1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3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0</v>
      </c>
      <c r="IH226">
        <v>0</v>
      </c>
    </row>
    <row r="227" spans="1:242" x14ac:dyDescent="0.25">
      <c r="A227">
        <v>16412</v>
      </c>
      <c r="B227">
        <v>29</v>
      </c>
      <c r="C227">
        <v>7</v>
      </c>
      <c r="D227" t="s">
        <v>226</v>
      </c>
      <c r="E227" t="s">
        <v>223</v>
      </c>
      <c r="F227">
        <v>3</v>
      </c>
      <c r="G227">
        <v>34.165500000000002</v>
      </c>
      <c r="H227">
        <v>15.431416670000001</v>
      </c>
      <c r="I227">
        <v>22.6524003</v>
      </c>
      <c r="J227">
        <v>92.808333329999996</v>
      </c>
      <c r="K227">
        <v>33.233333330000001</v>
      </c>
      <c r="L227">
        <v>69.274156750000003</v>
      </c>
      <c r="M227">
        <v>13.407460560000001</v>
      </c>
      <c r="N227">
        <v>1.1499999999999999</v>
      </c>
      <c r="O227">
        <v>1.34</v>
      </c>
      <c r="P227" t="s">
        <v>217</v>
      </c>
      <c r="Q227" t="s">
        <v>217</v>
      </c>
      <c r="R227" t="s">
        <v>217</v>
      </c>
      <c r="S227" t="s">
        <v>217</v>
      </c>
      <c r="T227" t="s">
        <v>217</v>
      </c>
      <c r="U227" t="s">
        <v>217</v>
      </c>
      <c r="V227">
        <f t="shared" si="12"/>
        <v>22</v>
      </c>
      <c r="W227">
        <f t="shared" si="13"/>
        <v>231</v>
      </c>
      <c r="X227">
        <f t="shared" si="14"/>
        <v>3.1428571428571428</v>
      </c>
      <c r="Y227">
        <f t="shared" si="15"/>
        <v>33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0</v>
      </c>
      <c r="AM227" s="1">
        <v>2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2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1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3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13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1</v>
      </c>
      <c r="DC227" s="1">
        <v>0</v>
      </c>
      <c r="DD227" s="1">
        <v>0</v>
      </c>
      <c r="DE227" s="1">
        <v>0</v>
      </c>
      <c r="DF227" s="1">
        <v>0</v>
      </c>
      <c r="DG227" s="1">
        <v>9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97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27</v>
      </c>
      <c r="EI227" s="1">
        <v>0</v>
      </c>
      <c r="EJ227" s="1">
        <v>0</v>
      </c>
      <c r="EK227" s="1">
        <v>21</v>
      </c>
      <c r="EL227" s="1">
        <v>0</v>
      </c>
      <c r="EM227" s="1">
        <v>0</v>
      </c>
      <c r="EN227" s="1">
        <v>2</v>
      </c>
      <c r="EO227" s="1">
        <v>0</v>
      </c>
      <c r="EP227" s="1">
        <v>0</v>
      </c>
      <c r="EQ227" s="1">
        <v>0</v>
      </c>
      <c r="ER227" s="1">
        <v>17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14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1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1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7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1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4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1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3</v>
      </c>
      <c r="IG227">
        <v>0</v>
      </c>
      <c r="IH227">
        <v>0</v>
      </c>
    </row>
    <row r="228" spans="1:242" x14ac:dyDescent="0.25">
      <c r="A228">
        <v>16418</v>
      </c>
      <c r="B228">
        <v>28</v>
      </c>
      <c r="C228">
        <v>18</v>
      </c>
      <c r="D228" t="s">
        <v>226</v>
      </c>
      <c r="E228" t="s">
        <v>223</v>
      </c>
      <c r="F228">
        <v>6</v>
      </c>
      <c r="G228">
        <v>36.783583329999999</v>
      </c>
      <c r="H228">
        <v>15.652333329999999</v>
      </c>
      <c r="I228">
        <v>24.318266869999999</v>
      </c>
      <c r="J228">
        <v>95.125</v>
      </c>
      <c r="K228">
        <v>22.95</v>
      </c>
      <c r="L228">
        <v>62.156001979999999</v>
      </c>
      <c r="M228">
        <v>13.185238330000001</v>
      </c>
      <c r="N228">
        <v>1.7</v>
      </c>
      <c r="O228">
        <v>0.69399999999999995</v>
      </c>
      <c r="P228" t="s">
        <v>216</v>
      </c>
      <c r="Q228" t="s">
        <v>217</v>
      </c>
      <c r="R228" t="s">
        <v>217</v>
      </c>
      <c r="S228" t="s">
        <v>217</v>
      </c>
      <c r="T228" t="s">
        <v>217</v>
      </c>
      <c r="U228" t="s">
        <v>216</v>
      </c>
      <c r="V228">
        <f t="shared" si="12"/>
        <v>43</v>
      </c>
      <c r="W228">
        <f t="shared" si="13"/>
        <v>718</v>
      </c>
      <c r="X228">
        <f t="shared" si="14"/>
        <v>2.3888888888888888</v>
      </c>
      <c r="Y228">
        <f t="shared" si="15"/>
        <v>39.888888888888886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>
        <v>1</v>
      </c>
      <c r="AG228" s="1">
        <v>0</v>
      </c>
      <c r="AH228" s="1">
        <v>8</v>
      </c>
      <c r="AI228" s="1">
        <v>0</v>
      </c>
      <c r="AJ228" s="1">
        <v>0</v>
      </c>
      <c r="AK228" s="1">
        <v>4</v>
      </c>
      <c r="AL228" s="1">
        <v>0</v>
      </c>
      <c r="AM228" s="1">
        <v>112</v>
      </c>
      <c r="AN228" s="1">
        <v>3</v>
      </c>
      <c r="AO228" s="1">
        <v>0</v>
      </c>
      <c r="AP228" s="1">
        <v>1</v>
      </c>
      <c r="AQ228" s="1">
        <v>0</v>
      </c>
      <c r="AR228" s="1">
        <v>0</v>
      </c>
      <c r="AS228" s="1">
        <v>0</v>
      </c>
      <c r="AT228" s="1">
        <v>10</v>
      </c>
      <c r="AU228" s="1">
        <v>0</v>
      </c>
      <c r="AV228" s="1">
        <v>0</v>
      </c>
      <c r="AW228" s="1">
        <v>0</v>
      </c>
      <c r="AX228" s="1">
        <v>34</v>
      </c>
      <c r="AY228" s="1">
        <v>0</v>
      </c>
      <c r="AZ228" s="1">
        <v>0</v>
      </c>
      <c r="BA228" s="1">
        <v>0</v>
      </c>
      <c r="BB228" s="1">
        <v>1</v>
      </c>
      <c r="BC228" s="1">
        <v>0</v>
      </c>
      <c r="BD228" s="1">
        <v>0</v>
      </c>
      <c r="BE228" s="1">
        <v>4</v>
      </c>
      <c r="BF228" s="1">
        <v>1</v>
      </c>
      <c r="BG228" s="1">
        <v>0</v>
      </c>
      <c r="BH228" s="1">
        <v>0</v>
      </c>
      <c r="BI228" s="1">
        <v>1</v>
      </c>
      <c r="BJ228" s="1">
        <v>0</v>
      </c>
      <c r="BK228" s="1">
        <v>0</v>
      </c>
      <c r="BL228" s="1">
        <v>8</v>
      </c>
      <c r="BM228" s="1">
        <v>5</v>
      </c>
      <c r="BN228" s="1">
        <v>0</v>
      </c>
      <c r="BO228" s="1">
        <v>1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7</v>
      </c>
      <c r="BX228" s="1">
        <v>0</v>
      </c>
      <c r="BY228" s="1">
        <v>0</v>
      </c>
      <c r="BZ228" s="1">
        <v>9</v>
      </c>
      <c r="CA228" s="1">
        <v>10</v>
      </c>
      <c r="CB228" s="1">
        <v>0</v>
      </c>
      <c r="CC228" s="1">
        <v>0</v>
      </c>
      <c r="CD228" s="1">
        <v>1</v>
      </c>
      <c r="CE228" s="1">
        <v>0</v>
      </c>
      <c r="CF228" s="1">
        <v>0</v>
      </c>
      <c r="CG228" s="1">
        <v>130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4</v>
      </c>
      <c r="CO228" s="1">
        <v>2</v>
      </c>
      <c r="CP228" s="1">
        <v>0</v>
      </c>
      <c r="CQ228" s="1">
        <v>0</v>
      </c>
      <c r="CR228" s="1">
        <v>7</v>
      </c>
      <c r="CS228" s="1">
        <v>0</v>
      </c>
      <c r="CT228" s="1">
        <v>37</v>
      </c>
      <c r="CU228" s="1">
        <v>0</v>
      </c>
      <c r="CV228" s="1">
        <v>7</v>
      </c>
      <c r="CW228" s="1">
        <v>2</v>
      </c>
      <c r="CX228" s="1">
        <v>0</v>
      </c>
      <c r="CY228" s="1">
        <v>0</v>
      </c>
      <c r="CZ228" s="1">
        <v>0</v>
      </c>
      <c r="DA228" s="1">
        <v>0</v>
      </c>
      <c r="DB228" s="1">
        <v>99</v>
      </c>
      <c r="DC228" s="1">
        <v>2</v>
      </c>
      <c r="DD228" s="1">
        <v>0</v>
      </c>
      <c r="DE228" s="1">
        <v>0</v>
      </c>
      <c r="DF228" s="1">
        <v>0</v>
      </c>
      <c r="DG228" s="1">
        <v>2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16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1</v>
      </c>
      <c r="DV228" s="1">
        <v>0</v>
      </c>
      <c r="DW228" s="1">
        <v>0</v>
      </c>
      <c r="DX228" s="1">
        <v>0</v>
      </c>
      <c r="DY228" s="1">
        <v>0</v>
      </c>
      <c r="DZ228" s="1">
        <v>5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147</v>
      </c>
      <c r="EL228" s="1">
        <v>0</v>
      </c>
      <c r="EM228" s="1">
        <v>0</v>
      </c>
      <c r="EN228" s="1">
        <v>2</v>
      </c>
      <c r="EO228" s="1">
        <v>0</v>
      </c>
      <c r="EP228" s="1">
        <v>0</v>
      </c>
      <c r="EQ228" s="1">
        <v>0</v>
      </c>
      <c r="ER228" s="1">
        <v>7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2</v>
      </c>
      <c r="FA228" s="1">
        <v>0</v>
      </c>
      <c r="FB228" s="1">
        <v>0</v>
      </c>
      <c r="FC228" s="1">
        <v>1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12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1</v>
      </c>
      <c r="GF228" s="1">
        <v>0</v>
      </c>
      <c r="GG228" s="1">
        <v>0</v>
      </c>
      <c r="GH228" s="1">
        <v>4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5</v>
      </c>
    </row>
    <row r="229" spans="1:242" x14ac:dyDescent="0.25">
      <c r="A229">
        <v>16423</v>
      </c>
      <c r="B229">
        <v>30</v>
      </c>
      <c r="C229">
        <v>7</v>
      </c>
      <c r="D229" t="s">
        <v>226</v>
      </c>
      <c r="E229" t="s">
        <v>223</v>
      </c>
      <c r="F229">
        <v>3</v>
      </c>
      <c r="G229">
        <v>32.721083329999999</v>
      </c>
      <c r="H229">
        <v>15.861409119999999</v>
      </c>
      <c r="I229">
        <v>22.485728529999999</v>
      </c>
      <c r="J229">
        <v>92.416666669999998</v>
      </c>
      <c r="K229">
        <v>35.4</v>
      </c>
      <c r="L229">
        <v>69.174734790000002</v>
      </c>
      <c r="M229">
        <v>13.4075848</v>
      </c>
      <c r="N229">
        <v>1.03</v>
      </c>
      <c r="O229">
        <v>1.48</v>
      </c>
      <c r="P229" t="s">
        <v>217</v>
      </c>
      <c r="Q229" t="s">
        <v>217</v>
      </c>
      <c r="R229" t="s">
        <v>217</v>
      </c>
      <c r="S229" t="s">
        <v>216</v>
      </c>
      <c r="T229" t="s">
        <v>217</v>
      </c>
      <c r="U229" t="s">
        <v>217</v>
      </c>
      <c r="V229">
        <f t="shared" si="12"/>
        <v>22</v>
      </c>
      <c r="W229">
        <f t="shared" si="13"/>
        <v>96</v>
      </c>
      <c r="X229">
        <f t="shared" si="14"/>
        <v>3.1428571428571428</v>
      </c>
      <c r="Y229">
        <f t="shared" si="15"/>
        <v>13.714285714285714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27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1</v>
      </c>
      <c r="BA229" s="1">
        <v>0</v>
      </c>
      <c r="BB229" s="1">
        <v>0</v>
      </c>
      <c r="BC229" s="1">
        <v>0</v>
      </c>
      <c r="BD229" s="1">
        <v>0</v>
      </c>
      <c r="BE229" s="1">
        <v>4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1</v>
      </c>
      <c r="BM229" s="1">
        <v>0</v>
      </c>
      <c r="BN229" s="1">
        <v>0</v>
      </c>
      <c r="BO229" s="1">
        <v>5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2</v>
      </c>
      <c r="CE229" s="1">
        <v>0</v>
      </c>
      <c r="CF229" s="1">
        <v>0</v>
      </c>
      <c r="CG229" s="1">
        <v>1</v>
      </c>
      <c r="CH229" s="1">
        <v>1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17</v>
      </c>
      <c r="CS229" s="1">
        <v>0</v>
      </c>
      <c r="CT229" s="1">
        <v>2</v>
      </c>
      <c r="CU229" s="1">
        <v>0</v>
      </c>
      <c r="CV229" s="1">
        <v>6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2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1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2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1</v>
      </c>
      <c r="EI229" s="1">
        <v>0</v>
      </c>
      <c r="EJ229" s="1">
        <v>0</v>
      </c>
      <c r="EK229" s="1">
        <v>13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2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1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1</v>
      </c>
      <c r="IG229">
        <v>0</v>
      </c>
      <c r="IH229">
        <v>4</v>
      </c>
    </row>
    <row r="230" spans="1:242" x14ac:dyDescent="0.25">
      <c r="A230">
        <v>16427</v>
      </c>
      <c r="B230">
        <v>9</v>
      </c>
      <c r="C230">
        <v>7</v>
      </c>
      <c r="D230" t="s">
        <v>226</v>
      </c>
      <c r="E230" t="s">
        <v>223</v>
      </c>
      <c r="F230">
        <v>5</v>
      </c>
      <c r="G230">
        <v>30.551833330000001</v>
      </c>
      <c r="H230">
        <v>17.218833329999999</v>
      </c>
      <c r="I230">
        <v>22.35788393</v>
      </c>
      <c r="J230">
        <v>89.6</v>
      </c>
      <c r="K230">
        <v>43.458333330000002</v>
      </c>
      <c r="L230">
        <v>72.443700399999997</v>
      </c>
      <c r="M230">
        <v>13.40645685</v>
      </c>
      <c r="N230">
        <v>1.01</v>
      </c>
      <c r="O230">
        <v>2.04</v>
      </c>
      <c r="P230" t="s">
        <v>217</v>
      </c>
      <c r="Q230" t="s">
        <v>217</v>
      </c>
      <c r="R230" t="s">
        <v>216</v>
      </c>
      <c r="S230" t="s">
        <v>217</v>
      </c>
      <c r="T230" t="s">
        <v>217</v>
      </c>
      <c r="U230" t="s">
        <v>216</v>
      </c>
      <c r="V230">
        <f t="shared" si="12"/>
        <v>1</v>
      </c>
      <c r="W230">
        <f t="shared" si="13"/>
        <v>1</v>
      </c>
      <c r="X230">
        <f t="shared" si="14"/>
        <v>0.14285714285714285</v>
      </c>
      <c r="Y230">
        <f t="shared" si="15"/>
        <v>0.14285714285714285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1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</row>
    <row r="231" spans="1:242" x14ac:dyDescent="0.25">
      <c r="A231">
        <v>16431</v>
      </c>
      <c r="B231">
        <v>1</v>
      </c>
      <c r="C231">
        <v>7</v>
      </c>
      <c r="D231" t="s">
        <v>227</v>
      </c>
      <c r="E231" t="s">
        <v>215</v>
      </c>
      <c r="F231">
        <v>9</v>
      </c>
      <c r="G231">
        <v>35.937249999999999</v>
      </c>
      <c r="H231">
        <v>17.3795</v>
      </c>
      <c r="I231">
        <v>23.512351689999999</v>
      </c>
      <c r="J231">
        <v>97.65</v>
      </c>
      <c r="K231">
        <v>30.875</v>
      </c>
      <c r="L231">
        <v>72.503264790000003</v>
      </c>
      <c r="M231">
        <v>12.471352120000001</v>
      </c>
      <c r="N231">
        <v>0.9</v>
      </c>
      <c r="O231">
        <v>1.63</v>
      </c>
      <c r="P231" t="s">
        <v>216</v>
      </c>
      <c r="Q231" t="s">
        <v>216</v>
      </c>
      <c r="R231" t="s">
        <v>216</v>
      </c>
      <c r="S231" t="s">
        <v>216</v>
      </c>
      <c r="T231" t="s">
        <v>216</v>
      </c>
      <c r="U231" t="s">
        <v>216</v>
      </c>
      <c r="V231">
        <f t="shared" si="12"/>
        <v>17</v>
      </c>
      <c r="W231">
        <f t="shared" si="13"/>
        <v>74</v>
      </c>
      <c r="X231">
        <f t="shared" si="14"/>
        <v>2.4285714285714284</v>
      </c>
      <c r="Y231">
        <f t="shared" si="15"/>
        <v>10.571428571428571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7</v>
      </c>
      <c r="AN231" s="1">
        <v>0</v>
      </c>
      <c r="AO231" s="1">
        <v>0</v>
      </c>
      <c r="AP231" s="1">
        <v>0</v>
      </c>
      <c r="AQ231" s="1">
        <v>0</v>
      </c>
      <c r="AR231" s="1">
        <v>1</v>
      </c>
      <c r="AS231" s="1">
        <v>0</v>
      </c>
      <c r="AT231" s="1">
        <v>1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1</v>
      </c>
      <c r="BX231" s="1">
        <v>0</v>
      </c>
      <c r="BY231" s="1">
        <v>0</v>
      </c>
      <c r="BZ231" s="1">
        <v>1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3</v>
      </c>
      <c r="CU231" s="1">
        <v>0</v>
      </c>
      <c r="CV231" s="1">
        <v>2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27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1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1</v>
      </c>
      <c r="EH231" s="1">
        <v>2</v>
      </c>
      <c r="EI231" s="1">
        <v>0</v>
      </c>
      <c r="EJ231" s="1">
        <v>0</v>
      </c>
      <c r="EK231" s="1">
        <v>5</v>
      </c>
      <c r="EL231" s="1">
        <v>0</v>
      </c>
      <c r="EM231" s="1">
        <v>0</v>
      </c>
      <c r="EN231" s="1">
        <v>1</v>
      </c>
      <c r="EO231" s="1">
        <v>0</v>
      </c>
      <c r="EP231" s="1">
        <v>0</v>
      </c>
      <c r="EQ231" s="1">
        <v>0</v>
      </c>
      <c r="ER231" s="1">
        <v>2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12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6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1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</row>
    <row r="232" spans="1:242" x14ac:dyDescent="0.25">
      <c r="A232">
        <v>16432</v>
      </c>
      <c r="B232">
        <v>15</v>
      </c>
      <c r="C232">
        <v>7</v>
      </c>
      <c r="D232" t="s">
        <v>226</v>
      </c>
      <c r="E232" t="s">
        <v>223</v>
      </c>
      <c r="F232">
        <v>9</v>
      </c>
      <c r="G232">
        <v>28.974250000000001</v>
      </c>
      <c r="H232">
        <v>17.894666669999999</v>
      </c>
      <c r="I232">
        <v>22.317270829999998</v>
      </c>
      <c r="J232">
        <v>91.833333330000002</v>
      </c>
      <c r="K232">
        <v>50.741666670000001</v>
      </c>
      <c r="L232">
        <v>75.843303570000003</v>
      </c>
      <c r="M232">
        <v>13.39519168</v>
      </c>
      <c r="N232">
        <v>0.495</v>
      </c>
      <c r="O232">
        <v>2.73</v>
      </c>
      <c r="P232" t="s">
        <v>216</v>
      </c>
      <c r="Q232" t="s">
        <v>217</v>
      </c>
      <c r="R232" t="s">
        <v>217</v>
      </c>
      <c r="S232" t="s">
        <v>217</v>
      </c>
      <c r="T232" t="s">
        <v>217</v>
      </c>
      <c r="U232" t="s">
        <v>216</v>
      </c>
      <c r="V232">
        <f t="shared" si="12"/>
        <v>11</v>
      </c>
      <c r="W232">
        <f t="shared" si="13"/>
        <v>42</v>
      </c>
      <c r="X232">
        <f t="shared" si="14"/>
        <v>1.5714285714285714</v>
      </c>
      <c r="Y232">
        <f t="shared" si="15"/>
        <v>6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4</v>
      </c>
      <c r="AN232" s="1">
        <v>0</v>
      </c>
      <c r="AO232" s="1">
        <v>0</v>
      </c>
      <c r="AP232" s="1">
        <v>1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1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7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4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6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1</v>
      </c>
      <c r="ED232" s="1">
        <v>0</v>
      </c>
      <c r="EE232" s="1">
        <v>0</v>
      </c>
      <c r="EF232" s="1">
        <v>0</v>
      </c>
      <c r="EG232" s="1">
        <v>0</v>
      </c>
      <c r="EH232" s="1">
        <v>1</v>
      </c>
      <c r="EI232" s="1">
        <v>0</v>
      </c>
      <c r="EJ232" s="1">
        <v>0</v>
      </c>
      <c r="EK232" s="1">
        <v>14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2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1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</row>
    <row r="233" spans="1:242" x14ac:dyDescent="0.25">
      <c r="A233">
        <v>16439</v>
      </c>
      <c r="B233">
        <v>20</v>
      </c>
      <c r="C233">
        <v>7</v>
      </c>
      <c r="D233" t="s">
        <v>226</v>
      </c>
      <c r="E233" t="s">
        <v>223</v>
      </c>
      <c r="F233">
        <v>4</v>
      </c>
      <c r="G233">
        <v>29.456666670000001</v>
      </c>
      <c r="H233">
        <v>16.78458333</v>
      </c>
      <c r="I233">
        <v>21.792759419999999</v>
      </c>
      <c r="J233">
        <v>91.366666670000001</v>
      </c>
      <c r="K233">
        <v>41.883333329999999</v>
      </c>
      <c r="L233">
        <v>73.694494050000003</v>
      </c>
      <c r="M233">
        <v>13.406939250000001</v>
      </c>
      <c r="N233">
        <v>0.6</v>
      </c>
      <c r="O233">
        <v>2.04</v>
      </c>
      <c r="P233" t="s">
        <v>216</v>
      </c>
      <c r="Q233" t="s">
        <v>216</v>
      </c>
      <c r="R233" t="s">
        <v>217</v>
      </c>
      <c r="S233" t="s">
        <v>217</v>
      </c>
      <c r="T233" t="s">
        <v>217</v>
      </c>
      <c r="U233" t="s">
        <v>216</v>
      </c>
      <c r="V233">
        <f t="shared" si="12"/>
        <v>11</v>
      </c>
      <c r="W233">
        <f t="shared" si="13"/>
        <v>26</v>
      </c>
      <c r="X233">
        <f t="shared" si="14"/>
        <v>1.5714285714285714</v>
      </c>
      <c r="Y233">
        <f t="shared" si="15"/>
        <v>3.7142857142857144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7</v>
      </c>
      <c r="AN233" s="1">
        <v>5</v>
      </c>
      <c r="AO233" s="1">
        <v>0</v>
      </c>
      <c r="AP233" s="1">
        <v>1</v>
      </c>
      <c r="AQ233" s="1">
        <v>0</v>
      </c>
      <c r="AR233" s="1">
        <v>0</v>
      </c>
      <c r="AS233" s="1">
        <v>0</v>
      </c>
      <c r="AT233" s="1">
        <v>1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1</v>
      </c>
      <c r="BX233" s="1">
        <v>0</v>
      </c>
      <c r="BY233" s="1">
        <v>1</v>
      </c>
      <c r="BZ233" s="1">
        <v>2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2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1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1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4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</row>
    <row r="234" spans="1:242" x14ac:dyDescent="0.25">
      <c r="A234">
        <v>16443</v>
      </c>
      <c r="B234">
        <v>20</v>
      </c>
      <c r="C234">
        <v>7</v>
      </c>
      <c r="D234" t="s">
        <v>227</v>
      </c>
      <c r="E234" t="s">
        <v>215</v>
      </c>
      <c r="F234">
        <v>4</v>
      </c>
      <c r="G234">
        <v>34.72475</v>
      </c>
      <c r="H234">
        <v>17.732333329999999</v>
      </c>
      <c r="I234">
        <v>23.792544150000001</v>
      </c>
      <c r="J234">
        <v>90.008333329999999</v>
      </c>
      <c r="K234">
        <v>27.916666670000001</v>
      </c>
      <c r="L234">
        <v>65.473611109999993</v>
      </c>
      <c r="M234">
        <v>12.4727079</v>
      </c>
      <c r="N234">
        <v>1.84</v>
      </c>
      <c r="O234">
        <v>0.90600000000000003</v>
      </c>
      <c r="P234" t="s">
        <v>216</v>
      </c>
      <c r="Q234" t="s">
        <v>216</v>
      </c>
      <c r="R234" t="s">
        <v>217</v>
      </c>
      <c r="S234" t="s">
        <v>217</v>
      </c>
      <c r="T234" t="s">
        <v>217</v>
      </c>
      <c r="U234" t="s">
        <v>216</v>
      </c>
      <c r="V234">
        <f t="shared" si="12"/>
        <v>10</v>
      </c>
      <c r="W234">
        <f t="shared" si="13"/>
        <v>19</v>
      </c>
      <c r="X234">
        <f t="shared" si="14"/>
        <v>1.4285714285714286</v>
      </c>
      <c r="Y234">
        <f t="shared" si="15"/>
        <v>2.7142857142857144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4</v>
      </c>
      <c r="AN234" s="1">
        <v>1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1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1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1</v>
      </c>
      <c r="CS234" s="1">
        <v>0</v>
      </c>
      <c r="CT234" s="1">
        <v>0</v>
      </c>
      <c r="CU234" s="1">
        <v>0</v>
      </c>
      <c r="CV234" s="1">
        <v>2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2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4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1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2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</row>
    <row r="235" spans="1:242" x14ac:dyDescent="0.25">
      <c r="A235">
        <v>16446</v>
      </c>
      <c r="B235">
        <v>5</v>
      </c>
      <c r="C235">
        <v>7</v>
      </c>
      <c r="D235" t="s">
        <v>226</v>
      </c>
      <c r="E235" t="s">
        <v>223</v>
      </c>
      <c r="F235">
        <v>3</v>
      </c>
      <c r="G235">
        <v>30.816333329999999</v>
      </c>
      <c r="H235">
        <v>15.89875</v>
      </c>
      <c r="I235">
        <v>21.46149355</v>
      </c>
      <c r="J235">
        <v>95.358333329999994</v>
      </c>
      <c r="K235">
        <v>45.066666669999996</v>
      </c>
      <c r="L235">
        <v>76.711111110000004</v>
      </c>
      <c r="M235">
        <v>13.405970399999999</v>
      </c>
      <c r="N235" s="8">
        <v>8.2900000000000001E-2</v>
      </c>
      <c r="O235">
        <v>2.37</v>
      </c>
      <c r="P235" t="s">
        <v>216</v>
      </c>
      <c r="Q235" t="s">
        <v>216</v>
      </c>
      <c r="R235" t="s">
        <v>216</v>
      </c>
      <c r="S235" t="s">
        <v>217</v>
      </c>
      <c r="T235" t="s">
        <v>217</v>
      </c>
      <c r="U235" t="s">
        <v>216</v>
      </c>
      <c r="V235">
        <f t="shared" si="12"/>
        <v>26</v>
      </c>
      <c r="W235">
        <f t="shared" si="13"/>
        <v>202</v>
      </c>
      <c r="X235">
        <f t="shared" si="14"/>
        <v>3.7142857142857144</v>
      </c>
      <c r="Y235">
        <f t="shared" si="15"/>
        <v>28.857142857142858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1</v>
      </c>
      <c r="AL235" s="1">
        <v>0</v>
      </c>
      <c r="AM235" s="1">
        <v>5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1</v>
      </c>
      <c r="AT235" s="1">
        <v>3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6</v>
      </c>
      <c r="BF235" s="1">
        <v>0</v>
      </c>
      <c r="BG235" s="1">
        <v>1</v>
      </c>
      <c r="BH235" s="1">
        <v>0</v>
      </c>
      <c r="BI235" s="1">
        <v>0</v>
      </c>
      <c r="BJ235" s="1">
        <v>0</v>
      </c>
      <c r="BK235" s="1">
        <v>0</v>
      </c>
      <c r="BL235" s="1">
        <v>4</v>
      </c>
      <c r="BM235" s="1">
        <v>6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1</v>
      </c>
      <c r="BX235" s="1">
        <v>0</v>
      </c>
      <c r="BY235" s="1">
        <v>0</v>
      </c>
      <c r="BZ235" s="1">
        <v>3</v>
      </c>
      <c r="CA235" s="1">
        <v>124</v>
      </c>
      <c r="CB235" s="1">
        <v>0</v>
      </c>
      <c r="CC235" s="1">
        <v>0</v>
      </c>
      <c r="CD235" s="1">
        <v>1</v>
      </c>
      <c r="CE235" s="1">
        <v>0</v>
      </c>
      <c r="CF235" s="1">
        <v>0</v>
      </c>
      <c r="CG235" s="1">
        <v>0</v>
      </c>
      <c r="CH235" s="1">
        <v>0</v>
      </c>
      <c r="CI235" s="1">
        <v>1</v>
      </c>
      <c r="CJ235" s="1">
        <v>0</v>
      </c>
      <c r="CK235" s="1">
        <v>0</v>
      </c>
      <c r="CL235" s="1">
        <v>0</v>
      </c>
      <c r="CM235" s="1">
        <v>1</v>
      </c>
      <c r="CN235" s="1">
        <v>1</v>
      </c>
      <c r="CO235" s="1">
        <v>0</v>
      </c>
      <c r="CP235" s="1">
        <v>0</v>
      </c>
      <c r="CQ235" s="1">
        <v>0</v>
      </c>
      <c r="CR235" s="1">
        <v>1</v>
      </c>
      <c r="CS235" s="1">
        <v>0</v>
      </c>
      <c r="CT235" s="1">
        <v>11</v>
      </c>
      <c r="CU235" s="1">
        <v>0</v>
      </c>
      <c r="CV235" s="1">
        <v>4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11</v>
      </c>
      <c r="DC235" s="1">
        <v>0</v>
      </c>
      <c r="DD235" s="1">
        <v>0</v>
      </c>
      <c r="DE235" s="1">
        <v>0</v>
      </c>
      <c r="DF235" s="1">
        <v>0</v>
      </c>
      <c r="DG235" s="1">
        <v>2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1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1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1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1</v>
      </c>
      <c r="GF235" s="1">
        <v>0</v>
      </c>
      <c r="GG235" s="1">
        <v>5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</row>
    <row r="236" spans="1:242" x14ac:dyDescent="0.25">
      <c r="A236">
        <v>16450</v>
      </c>
      <c r="B236">
        <v>5</v>
      </c>
      <c r="C236">
        <v>7</v>
      </c>
      <c r="D236" t="s">
        <v>227</v>
      </c>
      <c r="E236" t="s">
        <v>215</v>
      </c>
      <c r="F236">
        <v>3</v>
      </c>
      <c r="G236">
        <v>35.544750000000001</v>
      </c>
      <c r="H236">
        <v>17.000833329999999</v>
      </c>
      <c r="I236">
        <v>23.36808581</v>
      </c>
      <c r="J236">
        <v>97.033333330000005</v>
      </c>
      <c r="K236">
        <v>28.8</v>
      </c>
      <c r="L236">
        <v>68.84642857</v>
      </c>
      <c r="M236">
        <v>12.472429719999999</v>
      </c>
      <c r="N236">
        <v>0.99</v>
      </c>
      <c r="O236">
        <v>1.31</v>
      </c>
      <c r="P236" t="s">
        <v>216</v>
      </c>
      <c r="Q236" t="s">
        <v>216</v>
      </c>
      <c r="R236" t="s">
        <v>216</v>
      </c>
      <c r="S236" t="s">
        <v>217</v>
      </c>
      <c r="T236" t="s">
        <v>217</v>
      </c>
      <c r="U236" t="s">
        <v>216</v>
      </c>
      <c r="V236">
        <f t="shared" si="12"/>
        <v>24</v>
      </c>
      <c r="W236">
        <f t="shared" si="13"/>
        <v>90</v>
      </c>
      <c r="X236">
        <f t="shared" si="14"/>
        <v>3.4285714285714284</v>
      </c>
      <c r="Y236">
        <f t="shared" si="15"/>
        <v>12.857142857142858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1</v>
      </c>
      <c r="AF236" s="1">
        <v>3</v>
      </c>
      <c r="AG236" s="1">
        <v>0</v>
      </c>
      <c r="AH236" s="1">
        <v>0</v>
      </c>
      <c r="AI236" s="1">
        <v>0</v>
      </c>
      <c r="AJ236" s="1">
        <v>0</v>
      </c>
      <c r="AK236" s="1">
        <v>1</v>
      </c>
      <c r="AL236" s="1">
        <v>0</v>
      </c>
      <c r="AM236" s="1">
        <v>5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6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2</v>
      </c>
      <c r="BM236" s="1">
        <v>8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3</v>
      </c>
      <c r="BZ236" s="1">
        <v>0</v>
      </c>
      <c r="CA236" s="1">
        <v>5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22</v>
      </c>
      <c r="CU236" s="1">
        <v>0</v>
      </c>
      <c r="CV236" s="1">
        <v>4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9</v>
      </c>
      <c r="DC236" s="1">
        <v>0</v>
      </c>
      <c r="DD236" s="1">
        <v>0</v>
      </c>
      <c r="DE236" s="1">
        <v>0</v>
      </c>
      <c r="DF236" s="1">
        <v>0</v>
      </c>
      <c r="DG236" s="1">
        <v>2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1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4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1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1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1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1</v>
      </c>
      <c r="FZ236" s="1">
        <v>0</v>
      </c>
      <c r="GA236" s="1">
        <v>0</v>
      </c>
      <c r="GB236" s="1">
        <v>1</v>
      </c>
      <c r="GC236" s="1">
        <v>0</v>
      </c>
      <c r="GD236" s="1">
        <v>0</v>
      </c>
      <c r="GE236" s="1">
        <v>6</v>
      </c>
      <c r="GF236" s="1">
        <v>1</v>
      </c>
      <c r="GG236" s="1">
        <v>1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1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</row>
    <row r="237" spans="1:242" x14ac:dyDescent="0.25">
      <c r="A237">
        <v>16452</v>
      </c>
      <c r="B237">
        <v>25</v>
      </c>
      <c r="C237">
        <v>7</v>
      </c>
      <c r="D237" t="s">
        <v>226</v>
      </c>
      <c r="E237" t="s">
        <v>223</v>
      </c>
      <c r="F237">
        <v>8</v>
      </c>
      <c r="G237">
        <v>28.095333329999999</v>
      </c>
      <c r="H237">
        <v>17.793749999999999</v>
      </c>
      <c r="I237">
        <v>22.030041170000001</v>
      </c>
      <c r="J237">
        <v>90.866666670000001</v>
      </c>
      <c r="K237">
        <v>52.8</v>
      </c>
      <c r="L237">
        <v>74.880456350000003</v>
      </c>
      <c r="M237">
        <v>13.403645239999999</v>
      </c>
      <c r="N237">
        <v>0.45400000000000001</v>
      </c>
      <c r="O237">
        <v>2.74</v>
      </c>
      <c r="P237" t="s">
        <v>217</v>
      </c>
      <c r="Q237" t="s">
        <v>216</v>
      </c>
      <c r="R237" t="s">
        <v>216</v>
      </c>
      <c r="S237" t="s">
        <v>217</v>
      </c>
      <c r="T237" t="s">
        <v>217</v>
      </c>
      <c r="U237" t="s">
        <v>216</v>
      </c>
      <c r="V237">
        <f t="shared" si="12"/>
        <v>25</v>
      </c>
      <c r="W237">
        <f t="shared" si="13"/>
        <v>203</v>
      </c>
      <c r="X237">
        <f t="shared" si="14"/>
        <v>3.5714285714285716</v>
      </c>
      <c r="Y237">
        <f t="shared" si="15"/>
        <v>29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  <c r="AF237" s="1">
        <v>20</v>
      </c>
      <c r="AG237" s="1">
        <v>0</v>
      </c>
      <c r="AH237" s="1">
        <v>0</v>
      </c>
      <c r="AI237" s="1">
        <v>0</v>
      </c>
      <c r="AJ237" s="1">
        <v>0</v>
      </c>
      <c r="AK237" s="1">
        <v>3</v>
      </c>
      <c r="AL237" s="1">
        <v>0</v>
      </c>
      <c r="AM237" s="1">
        <v>30</v>
      </c>
      <c r="AN237" s="1">
        <v>1</v>
      </c>
      <c r="AO237" s="1">
        <v>0</v>
      </c>
      <c r="AP237" s="1">
        <v>0</v>
      </c>
      <c r="AQ237" s="1">
        <v>0</v>
      </c>
      <c r="AR237" s="1">
        <v>0</v>
      </c>
      <c r="AS237" s="1">
        <v>1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3</v>
      </c>
      <c r="BM237" s="1">
        <v>3</v>
      </c>
      <c r="BN237" s="1">
        <v>0</v>
      </c>
      <c r="BO237" s="1">
        <v>4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1</v>
      </c>
      <c r="BX237" s="1">
        <v>0</v>
      </c>
      <c r="BY237" s="1">
        <v>0</v>
      </c>
      <c r="BZ237" s="1">
        <v>10</v>
      </c>
      <c r="CA237" s="1">
        <v>8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1</v>
      </c>
      <c r="CJ237" s="1">
        <v>0</v>
      </c>
      <c r="CK237" s="1">
        <v>0</v>
      </c>
      <c r="CL237" s="1">
        <v>0</v>
      </c>
      <c r="CM237" s="1">
        <v>0</v>
      </c>
      <c r="CN237" s="1">
        <v>2</v>
      </c>
      <c r="CO237" s="1">
        <v>0</v>
      </c>
      <c r="CP237" s="1">
        <v>0</v>
      </c>
      <c r="CQ237" s="1">
        <v>0</v>
      </c>
      <c r="CR237" s="1">
        <v>4</v>
      </c>
      <c r="CS237" s="1">
        <v>0</v>
      </c>
      <c r="CT237" s="1">
        <v>27</v>
      </c>
      <c r="CU237" s="1">
        <v>0</v>
      </c>
      <c r="CV237" s="1">
        <v>38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28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6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2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1</v>
      </c>
      <c r="EV237" s="1">
        <v>0</v>
      </c>
      <c r="EW237" s="1">
        <v>0</v>
      </c>
      <c r="EX237" s="1">
        <v>0</v>
      </c>
      <c r="EY237" s="1">
        <v>0</v>
      </c>
      <c r="EZ237" s="1">
        <v>3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4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</row>
    <row r="238" spans="1:242" x14ac:dyDescent="0.25">
      <c r="A238">
        <v>16456</v>
      </c>
      <c r="B238">
        <v>25</v>
      </c>
      <c r="C238">
        <v>14</v>
      </c>
      <c r="D238" t="s">
        <v>227</v>
      </c>
      <c r="E238" t="s">
        <v>215</v>
      </c>
      <c r="F238">
        <v>8</v>
      </c>
      <c r="G238">
        <v>38.945749999999997</v>
      </c>
      <c r="H238">
        <v>18.517083329999998</v>
      </c>
      <c r="I238">
        <v>26.991396829999999</v>
      </c>
      <c r="J238">
        <v>86.658333330000005</v>
      </c>
      <c r="K238">
        <v>31.375</v>
      </c>
      <c r="L238">
        <v>58.319642860000002</v>
      </c>
      <c r="M238">
        <v>12.227169679999999</v>
      </c>
      <c r="N238">
        <v>3.19</v>
      </c>
      <c r="O238">
        <v>0.78200000000000003</v>
      </c>
      <c r="P238" t="s">
        <v>217</v>
      </c>
      <c r="Q238" t="s">
        <v>216</v>
      </c>
      <c r="R238" t="s">
        <v>216</v>
      </c>
      <c r="S238" t="s">
        <v>217</v>
      </c>
      <c r="T238" t="s">
        <v>217</v>
      </c>
      <c r="U238" t="s">
        <v>216</v>
      </c>
      <c r="V238">
        <f t="shared" si="12"/>
        <v>30</v>
      </c>
      <c r="W238">
        <f t="shared" si="13"/>
        <v>305</v>
      </c>
      <c r="X238">
        <f t="shared" si="14"/>
        <v>2.1428571428571428</v>
      </c>
      <c r="Y238">
        <f t="shared" si="15"/>
        <v>21.785714285714285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</v>
      </c>
      <c r="AF238" s="1">
        <v>21</v>
      </c>
      <c r="AG238" s="1">
        <v>0</v>
      </c>
      <c r="AH238" s="1">
        <v>2</v>
      </c>
      <c r="AI238" s="1">
        <v>0</v>
      </c>
      <c r="AJ238" s="1">
        <v>0</v>
      </c>
      <c r="AK238" s="1">
        <v>3</v>
      </c>
      <c r="AL238" s="1">
        <v>0</v>
      </c>
      <c r="AM238" s="1">
        <v>35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1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2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3</v>
      </c>
      <c r="BM238" s="1">
        <v>8</v>
      </c>
      <c r="BN238" s="1">
        <v>0</v>
      </c>
      <c r="BO238" s="1">
        <v>6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2</v>
      </c>
      <c r="BX238" s="1">
        <v>0</v>
      </c>
      <c r="BY238" s="1">
        <v>1</v>
      </c>
      <c r="BZ238" s="1">
        <v>29</v>
      </c>
      <c r="CA238" s="1">
        <v>7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2</v>
      </c>
      <c r="CO238" s="1">
        <v>4</v>
      </c>
      <c r="CP238" s="1">
        <v>0</v>
      </c>
      <c r="CQ238" s="1">
        <v>0</v>
      </c>
      <c r="CR238" s="1">
        <v>6</v>
      </c>
      <c r="CS238" s="1">
        <v>0</v>
      </c>
      <c r="CT238" s="1">
        <v>27</v>
      </c>
      <c r="CU238" s="1">
        <v>0</v>
      </c>
      <c r="CV238" s="1">
        <v>21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100</v>
      </c>
      <c r="DC238" s="1">
        <v>3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6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1</v>
      </c>
      <c r="EL238" s="1">
        <v>0</v>
      </c>
      <c r="EM238" s="1">
        <v>0</v>
      </c>
      <c r="EN238" s="1">
        <v>1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3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2</v>
      </c>
      <c r="FN238" s="1">
        <v>0</v>
      </c>
      <c r="FO238" s="1">
        <v>0</v>
      </c>
      <c r="FP238" s="1">
        <v>0</v>
      </c>
      <c r="FQ238" s="1">
        <v>0</v>
      </c>
      <c r="FR238" s="1">
        <v>1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1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2</v>
      </c>
      <c r="GP238" s="1">
        <v>0</v>
      </c>
      <c r="GQ238" s="1">
        <v>0</v>
      </c>
      <c r="GR238" s="1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3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</row>
    <row r="239" spans="1:242" x14ac:dyDescent="0.25">
      <c r="A239">
        <v>16457</v>
      </c>
      <c r="B239">
        <v>10</v>
      </c>
      <c r="C239">
        <v>7</v>
      </c>
      <c r="D239" t="s">
        <v>226</v>
      </c>
      <c r="E239" t="s">
        <v>223</v>
      </c>
      <c r="F239">
        <v>8</v>
      </c>
      <c r="G239">
        <v>31.120583329999999</v>
      </c>
      <c r="H239">
        <v>17.573666670000001</v>
      </c>
      <c r="I239">
        <v>22.712771329999999</v>
      </c>
      <c r="J239">
        <v>91.916666669999998</v>
      </c>
      <c r="K239">
        <v>43.858333330000001</v>
      </c>
      <c r="L239">
        <v>72.4672123</v>
      </c>
      <c r="M239">
        <v>13.40203814</v>
      </c>
      <c r="N239">
        <v>0.91</v>
      </c>
      <c r="O239">
        <v>2.2200000000000002</v>
      </c>
      <c r="P239" t="s">
        <v>216</v>
      </c>
      <c r="Q239" t="s">
        <v>217</v>
      </c>
      <c r="R239" t="s">
        <v>217</v>
      </c>
      <c r="S239" t="s">
        <v>217</v>
      </c>
      <c r="T239" t="s">
        <v>217</v>
      </c>
      <c r="U239" t="s">
        <v>217</v>
      </c>
      <c r="V239">
        <f t="shared" si="12"/>
        <v>8</v>
      </c>
      <c r="W239">
        <f t="shared" si="13"/>
        <v>19</v>
      </c>
      <c r="X239">
        <f t="shared" si="14"/>
        <v>1.1428571428571428</v>
      </c>
      <c r="Y239">
        <f t="shared" si="15"/>
        <v>2.7142857142857144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3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4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1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4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1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3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2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1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</row>
    <row r="240" spans="1:242" x14ac:dyDescent="0.25">
      <c r="A240">
        <v>16461</v>
      </c>
      <c r="B240">
        <v>10</v>
      </c>
      <c r="C240">
        <v>7</v>
      </c>
      <c r="D240" t="s">
        <v>227</v>
      </c>
      <c r="E240" t="s">
        <v>215</v>
      </c>
      <c r="F240">
        <v>8</v>
      </c>
      <c r="G240">
        <v>35.799500000000002</v>
      </c>
      <c r="H240">
        <v>16.707166669999999</v>
      </c>
      <c r="I240">
        <v>24.484123019999998</v>
      </c>
      <c r="J240">
        <v>93.508333329999999</v>
      </c>
      <c r="K240">
        <v>27.1</v>
      </c>
      <c r="L240">
        <v>67.356547620000001</v>
      </c>
      <c r="M240">
        <v>12.47130071</v>
      </c>
      <c r="N240">
        <v>1.55</v>
      </c>
      <c r="O240">
        <v>1.03</v>
      </c>
      <c r="P240" t="s">
        <v>216</v>
      </c>
      <c r="Q240" t="s">
        <v>217</v>
      </c>
      <c r="R240" t="s">
        <v>217</v>
      </c>
      <c r="S240" t="s">
        <v>217</v>
      </c>
      <c r="T240" t="s">
        <v>217</v>
      </c>
      <c r="U240" t="s">
        <v>217</v>
      </c>
      <c r="V240">
        <f t="shared" si="12"/>
        <v>7</v>
      </c>
      <c r="W240">
        <f t="shared" si="13"/>
        <v>9</v>
      </c>
      <c r="X240">
        <f t="shared" si="14"/>
        <v>1</v>
      </c>
      <c r="Y240">
        <f t="shared" si="15"/>
        <v>1.2857142857142858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2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2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1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1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1</v>
      </c>
      <c r="FR240" s="1">
        <v>0</v>
      </c>
      <c r="FS240" s="1">
        <v>0</v>
      </c>
      <c r="FT240" s="1">
        <v>1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</row>
    <row r="241" spans="1:242" x14ac:dyDescent="0.25">
      <c r="A241">
        <v>16463</v>
      </c>
      <c r="B241">
        <v>6</v>
      </c>
      <c r="C241">
        <v>7</v>
      </c>
      <c r="D241" t="s">
        <v>226</v>
      </c>
      <c r="E241" t="s">
        <v>223</v>
      </c>
      <c r="F241">
        <v>4</v>
      </c>
      <c r="G241">
        <v>30.541666670000001</v>
      </c>
      <c r="H241">
        <v>15.82341667</v>
      </c>
      <c r="I241">
        <v>21.449815480000002</v>
      </c>
      <c r="J241">
        <v>96.066666670000004</v>
      </c>
      <c r="K241">
        <v>44.075000000000003</v>
      </c>
      <c r="L241">
        <v>76.989186509999996</v>
      </c>
      <c r="M241">
        <v>13.40711482</v>
      </c>
      <c r="N241" s="8">
        <v>-1.84E-2</v>
      </c>
      <c r="O241">
        <v>2.37</v>
      </c>
      <c r="P241" t="s">
        <v>216</v>
      </c>
      <c r="Q241" t="s">
        <v>217</v>
      </c>
      <c r="R241" t="s">
        <v>217</v>
      </c>
      <c r="S241" t="s">
        <v>217</v>
      </c>
      <c r="T241" t="s">
        <v>217</v>
      </c>
      <c r="U241" t="s">
        <v>216</v>
      </c>
      <c r="V241">
        <f t="shared" si="12"/>
        <v>40</v>
      </c>
      <c r="W241">
        <f t="shared" si="13"/>
        <v>236</v>
      </c>
      <c r="X241">
        <f t="shared" si="14"/>
        <v>5.7142857142857144</v>
      </c>
      <c r="Y241">
        <f t="shared" si="15"/>
        <v>33.714285714285715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1</v>
      </c>
      <c r="AF241" s="1">
        <v>3</v>
      </c>
      <c r="AG241" s="1">
        <v>0</v>
      </c>
      <c r="AH241" s="1">
        <v>0</v>
      </c>
      <c r="AI241" s="1">
        <v>1</v>
      </c>
      <c r="AJ241" s="1">
        <v>0</v>
      </c>
      <c r="AK241" s="1">
        <v>0</v>
      </c>
      <c r="AL241" s="1">
        <v>0</v>
      </c>
      <c r="AM241" s="1">
        <v>4</v>
      </c>
      <c r="AN241" s="1">
        <v>17</v>
      </c>
      <c r="AO241" s="1">
        <v>0</v>
      </c>
      <c r="AP241" s="1">
        <v>0</v>
      </c>
      <c r="AQ241" s="1">
        <v>0</v>
      </c>
      <c r="AR241" s="1">
        <v>1</v>
      </c>
      <c r="AS241" s="1">
        <v>0</v>
      </c>
      <c r="AT241" s="1">
        <v>3</v>
      </c>
      <c r="AU241" s="1">
        <v>0</v>
      </c>
      <c r="AV241" s="1">
        <v>0</v>
      </c>
      <c r="AW241" s="1">
        <v>0</v>
      </c>
      <c r="AX241" s="1">
        <v>13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7</v>
      </c>
      <c r="BM241" s="1">
        <v>1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1</v>
      </c>
      <c r="BX241" s="1">
        <v>0</v>
      </c>
      <c r="BY241" s="1">
        <v>0</v>
      </c>
      <c r="BZ241" s="1">
        <v>0</v>
      </c>
      <c r="CA241" s="1">
        <v>1</v>
      </c>
      <c r="CB241" s="1">
        <v>0</v>
      </c>
      <c r="CC241" s="1">
        <v>0</v>
      </c>
      <c r="CD241" s="1">
        <v>5</v>
      </c>
      <c r="CE241" s="1">
        <v>0</v>
      </c>
      <c r="CF241" s="1">
        <v>0</v>
      </c>
      <c r="CG241" s="1">
        <v>27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2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17</v>
      </c>
      <c r="CU241" s="1">
        <v>0</v>
      </c>
      <c r="CV241" s="1">
        <v>9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3</v>
      </c>
      <c r="DC241" s="1">
        <v>2</v>
      </c>
      <c r="DD241" s="1">
        <v>0</v>
      </c>
      <c r="DE241" s="1">
        <v>0</v>
      </c>
      <c r="DF241" s="1">
        <v>0</v>
      </c>
      <c r="DG241" s="1">
        <v>6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2</v>
      </c>
      <c r="DP241" s="1">
        <v>1</v>
      </c>
      <c r="DQ241" s="1">
        <v>0</v>
      </c>
      <c r="DR241" s="1">
        <v>0</v>
      </c>
      <c r="DS241" s="1">
        <v>3</v>
      </c>
      <c r="DT241" s="1">
        <v>0</v>
      </c>
      <c r="DU241" s="1">
        <v>1</v>
      </c>
      <c r="DV241" s="1">
        <v>0</v>
      </c>
      <c r="DW241" s="1">
        <v>1</v>
      </c>
      <c r="DX241" s="1">
        <v>0</v>
      </c>
      <c r="DY241" s="1">
        <v>0</v>
      </c>
      <c r="DZ241" s="1">
        <v>1</v>
      </c>
      <c r="EA241" s="1">
        <v>0</v>
      </c>
      <c r="EB241" s="1">
        <v>2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15</v>
      </c>
      <c r="EI241" s="1">
        <v>0</v>
      </c>
      <c r="EJ241" s="1">
        <v>0</v>
      </c>
      <c r="EK241" s="1">
        <v>66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1</v>
      </c>
      <c r="ES241" s="1">
        <v>0</v>
      </c>
      <c r="ET241" s="1">
        <v>0</v>
      </c>
      <c r="EU241" s="1">
        <v>3</v>
      </c>
      <c r="EV241" s="1">
        <v>0</v>
      </c>
      <c r="EW241" s="1">
        <v>0</v>
      </c>
      <c r="EX241" s="1">
        <v>0</v>
      </c>
      <c r="EY241" s="1">
        <v>0</v>
      </c>
      <c r="EZ241" s="1">
        <v>3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4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1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2</v>
      </c>
      <c r="GB241" s="1">
        <v>1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1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>
        <v>0</v>
      </c>
      <c r="GT241">
        <v>0</v>
      </c>
      <c r="GU241">
        <v>0</v>
      </c>
      <c r="GV241">
        <v>0</v>
      </c>
      <c r="GW241">
        <v>1</v>
      </c>
      <c r="GX241">
        <v>1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2</v>
      </c>
      <c r="IG241">
        <v>0</v>
      </c>
      <c r="IH241">
        <v>0</v>
      </c>
    </row>
    <row r="242" spans="1:242" x14ac:dyDescent="0.25">
      <c r="A242">
        <v>16466</v>
      </c>
      <c r="B242">
        <v>6</v>
      </c>
      <c r="C242">
        <v>6</v>
      </c>
      <c r="D242" t="s">
        <v>227</v>
      </c>
      <c r="E242" t="s">
        <v>215</v>
      </c>
      <c r="F242">
        <v>4</v>
      </c>
      <c r="G242">
        <v>35.688249999999996</v>
      </c>
      <c r="H242">
        <v>17.16525</v>
      </c>
      <c r="I242">
        <v>23.52431399</v>
      </c>
      <c r="J242">
        <v>94.75</v>
      </c>
      <c r="K242">
        <v>28.31666667</v>
      </c>
      <c r="L242">
        <v>68.536954370000004</v>
      </c>
      <c r="M242">
        <v>12.47275831</v>
      </c>
      <c r="N242">
        <v>1.29</v>
      </c>
      <c r="O242">
        <v>1.19</v>
      </c>
      <c r="P242" t="s">
        <v>216</v>
      </c>
      <c r="Q242" t="s">
        <v>217</v>
      </c>
      <c r="R242" t="s">
        <v>217</v>
      </c>
      <c r="S242" t="s">
        <v>217</v>
      </c>
      <c r="T242" t="s">
        <v>217</v>
      </c>
      <c r="U242" t="s">
        <v>216</v>
      </c>
      <c r="V242">
        <f t="shared" si="12"/>
        <v>23</v>
      </c>
      <c r="W242">
        <f t="shared" si="13"/>
        <v>133</v>
      </c>
      <c r="X242">
        <f t="shared" si="14"/>
        <v>3.8333333333333335</v>
      </c>
      <c r="Y242">
        <f t="shared" si="15"/>
        <v>22.166666666666668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5</v>
      </c>
      <c r="AN242" s="1">
        <v>3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3</v>
      </c>
      <c r="AU242" s="1">
        <v>0</v>
      </c>
      <c r="AV242" s="1">
        <v>0</v>
      </c>
      <c r="AW242" s="1">
        <v>0</v>
      </c>
      <c r="AX242" s="1">
        <v>3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1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1</v>
      </c>
      <c r="BX242" s="1">
        <v>0</v>
      </c>
      <c r="BY242" s="1">
        <v>1</v>
      </c>
      <c r="BZ242" s="1">
        <v>2</v>
      </c>
      <c r="CA242" s="1">
        <v>0</v>
      </c>
      <c r="CB242" s="1">
        <v>0</v>
      </c>
      <c r="CC242" s="1">
        <v>0</v>
      </c>
      <c r="CD242" s="1">
        <v>2</v>
      </c>
      <c r="CE242" s="1">
        <v>0</v>
      </c>
      <c r="CF242" s="1">
        <v>0</v>
      </c>
      <c r="CG242" s="1">
        <v>17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1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9</v>
      </c>
      <c r="CU242" s="1">
        <v>0</v>
      </c>
      <c r="CV242" s="1">
        <v>3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7</v>
      </c>
      <c r="DC242" s="1">
        <v>0</v>
      </c>
      <c r="DD242" s="1">
        <v>0</v>
      </c>
      <c r="DE242" s="1">
        <v>0</v>
      </c>
      <c r="DF242" s="1">
        <v>0</v>
      </c>
      <c r="DG242" s="1">
        <v>9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1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1</v>
      </c>
      <c r="EA242" s="1">
        <v>0</v>
      </c>
      <c r="EB242" s="1">
        <v>3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13</v>
      </c>
      <c r="EI242" s="1">
        <v>0</v>
      </c>
      <c r="EJ242" s="1">
        <v>0</v>
      </c>
      <c r="EK242" s="1">
        <v>43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3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1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1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</row>
    <row r="243" spans="1:242" x14ac:dyDescent="0.25">
      <c r="A243">
        <v>16468</v>
      </c>
      <c r="B243">
        <v>4</v>
      </c>
      <c r="C243">
        <v>7</v>
      </c>
      <c r="D243" t="s">
        <v>226</v>
      </c>
      <c r="E243" t="s">
        <v>223</v>
      </c>
      <c r="F243">
        <v>4</v>
      </c>
      <c r="G243">
        <v>28.229416669999999</v>
      </c>
      <c r="H243">
        <v>15.4575</v>
      </c>
      <c r="I243">
        <v>20.806456350000001</v>
      </c>
      <c r="J243">
        <v>95.733333329999994</v>
      </c>
      <c r="K243">
        <v>45.866666670000001</v>
      </c>
      <c r="L243">
        <v>78.25396825</v>
      </c>
      <c r="M243">
        <v>13.40720248</v>
      </c>
      <c r="N243">
        <v>-0.39500000000000002</v>
      </c>
      <c r="O243">
        <v>2.4500000000000002</v>
      </c>
      <c r="P243" t="s">
        <v>216</v>
      </c>
      <c r="Q243" t="s">
        <v>217</v>
      </c>
      <c r="R243" t="s">
        <v>216</v>
      </c>
      <c r="S243" t="s">
        <v>217</v>
      </c>
      <c r="T243" t="s">
        <v>217</v>
      </c>
      <c r="U243" t="s">
        <v>216</v>
      </c>
      <c r="V243">
        <f t="shared" si="12"/>
        <v>21</v>
      </c>
      <c r="W243">
        <f t="shared" si="13"/>
        <v>59</v>
      </c>
      <c r="X243">
        <f t="shared" si="14"/>
        <v>3</v>
      </c>
      <c r="Y243">
        <f t="shared" si="15"/>
        <v>8.4285714285714288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3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12</v>
      </c>
      <c r="AN243" s="1">
        <v>1</v>
      </c>
      <c r="AO243" s="1">
        <v>0</v>
      </c>
      <c r="AP243" s="1">
        <v>3</v>
      </c>
      <c r="AQ243" s="1">
        <v>0</v>
      </c>
      <c r="AR243" s="1">
        <v>0</v>
      </c>
      <c r="AS243" s="1">
        <v>0</v>
      </c>
      <c r="AT243" s="1">
        <v>1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1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4</v>
      </c>
      <c r="CA243" s="1">
        <v>1</v>
      </c>
      <c r="CB243" s="1">
        <v>0</v>
      </c>
      <c r="CC243" s="1">
        <v>0</v>
      </c>
      <c r="CD243" s="1">
        <v>1</v>
      </c>
      <c r="CE243" s="1">
        <v>0</v>
      </c>
      <c r="CF243" s="1">
        <v>0</v>
      </c>
      <c r="CG243" s="1">
        <v>0</v>
      </c>
      <c r="CH243" s="1">
        <v>1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4</v>
      </c>
      <c r="CO243" s="1">
        <v>0</v>
      </c>
      <c r="CP243" s="1">
        <v>0</v>
      </c>
      <c r="CQ243" s="1">
        <v>0</v>
      </c>
      <c r="CR243" s="1">
        <v>1</v>
      </c>
      <c r="CS243" s="1">
        <v>0</v>
      </c>
      <c r="CT243" s="1">
        <v>0</v>
      </c>
      <c r="CU243" s="1">
        <v>0</v>
      </c>
      <c r="CV243" s="1">
        <v>4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7</v>
      </c>
      <c r="DC243" s="1">
        <v>0</v>
      </c>
      <c r="DD243" s="1">
        <v>0</v>
      </c>
      <c r="DE243" s="1">
        <v>0</v>
      </c>
      <c r="DF243" s="1">
        <v>0</v>
      </c>
      <c r="DG243" s="1">
        <v>1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4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1</v>
      </c>
      <c r="EI243" s="1">
        <v>0</v>
      </c>
      <c r="EJ243" s="1">
        <v>0</v>
      </c>
      <c r="EK243" s="1">
        <v>6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1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>
        <v>0</v>
      </c>
      <c r="GT243">
        <v>0</v>
      </c>
      <c r="GU243">
        <v>0</v>
      </c>
      <c r="GV243">
        <v>0</v>
      </c>
      <c r="GW243">
        <v>1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</row>
    <row r="244" spans="1:242" x14ac:dyDescent="0.25">
      <c r="A244">
        <v>16471</v>
      </c>
      <c r="B244">
        <v>4</v>
      </c>
      <c r="C244">
        <v>7</v>
      </c>
      <c r="D244" t="s">
        <v>227</v>
      </c>
      <c r="E244" t="s">
        <v>215</v>
      </c>
      <c r="F244">
        <v>4</v>
      </c>
      <c r="G244">
        <v>32.993083329999997</v>
      </c>
      <c r="H244">
        <v>16.496749999999999</v>
      </c>
      <c r="I244">
        <v>22.818725690000001</v>
      </c>
      <c r="J244">
        <v>94.983333329999994</v>
      </c>
      <c r="K244">
        <v>31</v>
      </c>
      <c r="L244">
        <v>69.505654759999999</v>
      </c>
      <c r="M244">
        <v>12.47278348</v>
      </c>
      <c r="N244">
        <v>0.77300000000000002</v>
      </c>
      <c r="O244">
        <v>1.3</v>
      </c>
      <c r="P244" t="s">
        <v>216</v>
      </c>
      <c r="Q244" t="s">
        <v>217</v>
      </c>
      <c r="R244" t="s">
        <v>216</v>
      </c>
      <c r="S244" t="s">
        <v>217</v>
      </c>
      <c r="T244" t="s">
        <v>217</v>
      </c>
      <c r="U244" t="s">
        <v>216</v>
      </c>
      <c r="V244">
        <f t="shared" si="12"/>
        <v>11</v>
      </c>
      <c r="W244">
        <f t="shared" si="13"/>
        <v>21</v>
      </c>
      <c r="X244">
        <f t="shared" si="14"/>
        <v>1.5714285714285714</v>
      </c>
      <c r="Y244">
        <f t="shared" si="15"/>
        <v>3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3</v>
      </c>
      <c r="AN244" s="1">
        <v>1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2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3</v>
      </c>
      <c r="CO244" s="1">
        <v>0</v>
      </c>
      <c r="CP244" s="1">
        <v>1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5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2</v>
      </c>
      <c r="DC244" s="1">
        <v>0</v>
      </c>
      <c r="DD244" s="1">
        <v>0</v>
      </c>
      <c r="DE244" s="1">
        <v>0</v>
      </c>
      <c r="DF244" s="1">
        <v>0</v>
      </c>
      <c r="DG244" s="1">
        <v>1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1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1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1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</row>
    <row r="245" spans="1:242" x14ac:dyDescent="0.25">
      <c r="A245">
        <v>16477</v>
      </c>
      <c r="B245">
        <v>22</v>
      </c>
      <c r="C245">
        <v>7</v>
      </c>
      <c r="D245" t="s">
        <v>227</v>
      </c>
      <c r="E245" t="s">
        <v>215</v>
      </c>
      <c r="F245">
        <v>5</v>
      </c>
      <c r="G245">
        <v>36.406083330000001</v>
      </c>
      <c r="H245">
        <v>18.061083329999999</v>
      </c>
      <c r="I245">
        <v>24.349551590000001</v>
      </c>
      <c r="J245">
        <v>92.116666670000001</v>
      </c>
      <c r="K245">
        <v>28.324999999999999</v>
      </c>
      <c r="L245">
        <v>64.925396829999997</v>
      </c>
      <c r="M245">
        <v>12.47215681</v>
      </c>
      <c r="N245">
        <v>1.91</v>
      </c>
      <c r="O245">
        <v>1.04</v>
      </c>
      <c r="P245" t="s">
        <v>217</v>
      </c>
      <c r="Q245" t="s">
        <v>216</v>
      </c>
      <c r="R245" t="s">
        <v>216</v>
      </c>
      <c r="S245" t="s">
        <v>217</v>
      </c>
      <c r="T245" t="s">
        <v>217</v>
      </c>
      <c r="U245" t="s">
        <v>217</v>
      </c>
      <c r="V245">
        <f t="shared" si="12"/>
        <v>10</v>
      </c>
      <c r="W245">
        <f t="shared" si="13"/>
        <v>15</v>
      </c>
      <c r="X245">
        <f t="shared" si="14"/>
        <v>1.4285714285714286</v>
      </c>
      <c r="Y245">
        <f t="shared" si="15"/>
        <v>2.1428571428571428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1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1</v>
      </c>
      <c r="DD245" s="1">
        <v>0</v>
      </c>
      <c r="DE245" s="1">
        <v>0</v>
      </c>
      <c r="DF245" s="1">
        <v>0</v>
      </c>
      <c r="DG245" s="1">
        <v>1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5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1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1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2</v>
      </c>
      <c r="IG245">
        <v>0</v>
      </c>
      <c r="IH245">
        <v>0</v>
      </c>
    </row>
    <row r="246" spans="1:242" x14ac:dyDescent="0.25">
      <c r="A246">
        <v>16482</v>
      </c>
      <c r="B246">
        <v>11</v>
      </c>
      <c r="C246">
        <v>7</v>
      </c>
      <c r="D246" t="s">
        <v>227</v>
      </c>
      <c r="E246" t="s">
        <v>215</v>
      </c>
      <c r="F246">
        <v>8</v>
      </c>
      <c r="G246">
        <v>32.934666669999999</v>
      </c>
      <c r="H246">
        <v>18.572500000000002</v>
      </c>
      <c r="I246">
        <v>23.92243006</v>
      </c>
      <c r="J246">
        <v>91.125</v>
      </c>
      <c r="K246">
        <v>33.916666669999998</v>
      </c>
      <c r="L246">
        <v>66.898561509999993</v>
      </c>
      <c r="M246">
        <v>12.47213945</v>
      </c>
      <c r="N246">
        <v>1.52</v>
      </c>
      <c r="O246">
        <v>1.44</v>
      </c>
      <c r="P246" t="s">
        <v>217</v>
      </c>
      <c r="Q246" t="s">
        <v>216</v>
      </c>
      <c r="R246" t="s">
        <v>217</v>
      </c>
      <c r="S246" t="s">
        <v>217</v>
      </c>
      <c r="T246" t="s">
        <v>217</v>
      </c>
      <c r="U246" t="s">
        <v>217</v>
      </c>
      <c r="V246">
        <f t="shared" si="12"/>
        <v>7</v>
      </c>
      <c r="W246">
        <f t="shared" si="13"/>
        <v>14</v>
      </c>
      <c r="X246">
        <f t="shared" si="14"/>
        <v>1</v>
      </c>
      <c r="Y246">
        <f t="shared" si="15"/>
        <v>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2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1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6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2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1</v>
      </c>
      <c r="IE246">
        <v>0</v>
      </c>
      <c r="IF246">
        <v>0</v>
      </c>
      <c r="IG246">
        <v>0</v>
      </c>
      <c r="IH246">
        <v>1</v>
      </c>
    </row>
    <row r="247" spans="1:242" x14ac:dyDescent="0.25">
      <c r="A247">
        <v>16485</v>
      </c>
      <c r="B247">
        <v>12</v>
      </c>
      <c r="C247">
        <v>7</v>
      </c>
      <c r="D247" t="s">
        <v>226</v>
      </c>
      <c r="E247" t="s">
        <v>223</v>
      </c>
      <c r="F247">
        <v>8</v>
      </c>
      <c r="G247">
        <v>31.44425</v>
      </c>
      <c r="H247">
        <v>17.67091667</v>
      </c>
      <c r="I247">
        <v>22.94881548</v>
      </c>
      <c r="J247">
        <v>92.008333329999999</v>
      </c>
      <c r="K247">
        <v>43.65</v>
      </c>
      <c r="L247">
        <v>71.455654760000002</v>
      </c>
      <c r="M247">
        <v>13.4036781</v>
      </c>
      <c r="N247">
        <v>1</v>
      </c>
      <c r="O247">
        <v>2.19</v>
      </c>
      <c r="P247" t="s">
        <v>217</v>
      </c>
      <c r="Q247" t="s">
        <v>217</v>
      </c>
      <c r="R247" t="s">
        <v>217</v>
      </c>
      <c r="S247" t="s">
        <v>217</v>
      </c>
      <c r="T247" t="s">
        <v>217</v>
      </c>
      <c r="U247" t="s">
        <v>217</v>
      </c>
      <c r="V247">
        <f t="shared" si="12"/>
        <v>24</v>
      </c>
      <c r="W247">
        <f t="shared" si="13"/>
        <v>71</v>
      </c>
      <c r="X247">
        <f t="shared" si="14"/>
        <v>3.4285714285714284</v>
      </c>
      <c r="Y247">
        <f t="shared" si="15"/>
        <v>10.142857142857142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0</v>
      </c>
      <c r="AM247" s="1">
        <v>8</v>
      </c>
      <c r="AN247" s="1">
        <v>1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9</v>
      </c>
      <c r="CA247" s="1">
        <v>2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3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1</v>
      </c>
      <c r="CS247" s="1">
        <v>0</v>
      </c>
      <c r="CT247" s="1">
        <v>2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7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1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3</v>
      </c>
      <c r="EA247" s="1">
        <v>0</v>
      </c>
      <c r="EB247" s="1">
        <v>3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10</v>
      </c>
      <c r="EL247" s="1">
        <v>0</v>
      </c>
      <c r="EM247" s="1">
        <v>0</v>
      </c>
      <c r="EN247" s="1">
        <v>2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1</v>
      </c>
      <c r="EV247" s="1">
        <v>0</v>
      </c>
      <c r="EW247" s="1">
        <v>0</v>
      </c>
      <c r="EX247" s="1">
        <v>0</v>
      </c>
      <c r="EY247" s="1">
        <v>0</v>
      </c>
      <c r="EZ247" s="1">
        <v>4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2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2</v>
      </c>
      <c r="GF247" s="1">
        <v>0</v>
      </c>
      <c r="GG247" s="1">
        <v>0</v>
      </c>
      <c r="GH247" s="1">
        <v>0</v>
      </c>
      <c r="GI247" s="1">
        <v>0</v>
      </c>
      <c r="GJ247" s="1">
        <v>1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4</v>
      </c>
      <c r="HE247">
        <v>0</v>
      </c>
      <c r="HF247">
        <v>0</v>
      </c>
      <c r="HG247">
        <v>0</v>
      </c>
      <c r="HH247">
        <v>0</v>
      </c>
      <c r="HI247">
        <v>1</v>
      </c>
      <c r="HJ247">
        <v>1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</row>
    <row r="248" spans="1:242" x14ac:dyDescent="0.25">
      <c r="A248">
        <v>16489</v>
      </c>
      <c r="B248">
        <v>12</v>
      </c>
      <c r="C248">
        <v>7</v>
      </c>
      <c r="D248" t="s">
        <v>227</v>
      </c>
      <c r="E248" t="s">
        <v>215</v>
      </c>
      <c r="F248">
        <v>8</v>
      </c>
      <c r="G248">
        <v>35.410916669999999</v>
      </c>
      <c r="H248">
        <v>17.35166667</v>
      </c>
      <c r="I248">
        <v>24.307967260000002</v>
      </c>
      <c r="J248">
        <v>94.258333329999999</v>
      </c>
      <c r="K248">
        <v>31.024999999999999</v>
      </c>
      <c r="L248">
        <v>67.798809520000006</v>
      </c>
      <c r="M248">
        <v>12.47177155</v>
      </c>
      <c r="N248">
        <v>1.41</v>
      </c>
      <c r="O248">
        <v>1.34</v>
      </c>
      <c r="P248" t="s">
        <v>217</v>
      </c>
      <c r="Q248" t="s">
        <v>217</v>
      </c>
      <c r="R248" t="s">
        <v>217</v>
      </c>
      <c r="S248" t="s">
        <v>217</v>
      </c>
      <c r="T248" t="s">
        <v>217</v>
      </c>
      <c r="U248" t="s">
        <v>217</v>
      </c>
      <c r="V248">
        <f t="shared" si="12"/>
        <v>7</v>
      </c>
      <c r="W248">
        <f t="shared" si="13"/>
        <v>9</v>
      </c>
      <c r="X248">
        <f t="shared" si="14"/>
        <v>1</v>
      </c>
      <c r="Y248">
        <f t="shared" si="15"/>
        <v>1.2857142857142858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1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2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1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1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1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2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1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</row>
    <row r="249" spans="1:242" x14ac:dyDescent="0.25">
      <c r="A249">
        <v>16491</v>
      </c>
      <c r="B249">
        <v>26</v>
      </c>
      <c r="C249">
        <v>7</v>
      </c>
      <c r="D249" t="s">
        <v>226</v>
      </c>
      <c r="E249" t="s">
        <v>223</v>
      </c>
      <c r="F249">
        <v>9</v>
      </c>
      <c r="G249">
        <v>27.413083329999999</v>
      </c>
      <c r="H249">
        <v>17.432833330000001</v>
      </c>
      <c r="I249">
        <v>21.4015694</v>
      </c>
      <c r="J249">
        <v>93.583333330000002</v>
      </c>
      <c r="K249">
        <v>55.075000000000003</v>
      </c>
      <c r="L249">
        <v>78.021410529999997</v>
      </c>
      <c r="M249">
        <v>13.40420514</v>
      </c>
      <c r="N249">
        <v>-0.11899999999999999</v>
      </c>
      <c r="O249">
        <v>3.04</v>
      </c>
      <c r="P249" t="s">
        <v>217</v>
      </c>
      <c r="Q249" t="s">
        <v>217</v>
      </c>
      <c r="R249" t="s">
        <v>217</v>
      </c>
      <c r="S249" t="s">
        <v>216</v>
      </c>
      <c r="T249" t="s">
        <v>216</v>
      </c>
      <c r="U249" t="s">
        <v>217</v>
      </c>
      <c r="V249">
        <f t="shared" si="12"/>
        <v>19</v>
      </c>
      <c r="W249">
        <f t="shared" si="13"/>
        <v>73</v>
      </c>
      <c r="X249">
        <f t="shared" si="14"/>
        <v>2.7142857142857144</v>
      </c>
      <c r="Y249">
        <f t="shared" si="15"/>
        <v>10.428571428571429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14</v>
      </c>
      <c r="AN249" s="1">
        <v>8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3</v>
      </c>
      <c r="AU249" s="1">
        <v>0</v>
      </c>
      <c r="AV249" s="1">
        <v>0</v>
      </c>
      <c r="AW249" s="1">
        <v>0</v>
      </c>
      <c r="AX249" s="1">
        <v>1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1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10</v>
      </c>
      <c r="CA249" s="1">
        <v>2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3</v>
      </c>
      <c r="CO249" s="1">
        <v>0</v>
      </c>
      <c r="CP249" s="1">
        <v>0</v>
      </c>
      <c r="CQ249" s="1">
        <v>0</v>
      </c>
      <c r="CR249" s="1">
        <v>1</v>
      </c>
      <c r="CS249" s="1">
        <v>0</v>
      </c>
      <c r="CT249" s="1">
        <v>1</v>
      </c>
      <c r="CU249" s="1">
        <v>0</v>
      </c>
      <c r="CV249" s="1">
        <v>7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6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1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1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1</v>
      </c>
      <c r="EV249" s="1">
        <v>0</v>
      </c>
      <c r="EW249" s="1">
        <v>0</v>
      </c>
      <c r="EX249" s="1">
        <v>0</v>
      </c>
      <c r="EY249" s="1">
        <v>0</v>
      </c>
      <c r="EZ249" s="1">
        <v>1</v>
      </c>
      <c r="FA249" s="1">
        <v>0</v>
      </c>
      <c r="FB249" s="1">
        <v>0</v>
      </c>
      <c r="FC249" s="1">
        <v>10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1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</row>
    <row r="250" spans="1:242" x14ac:dyDescent="0.25">
      <c r="A250">
        <v>16495</v>
      </c>
      <c r="B250">
        <v>26</v>
      </c>
      <c r="C250">
        <v>7</v>
      </c>
      <c r="D250" t="s">
        <v>227</v>
      </c>
      <c r="E250" t="s">
        <v>215</v>
      </c>
      <c r="F250">
        <v>9</v>
      </c>
      <c r="G250">
        <v>31.909083330000001</v>
      </c>
      <c r="H250">
        <v>17.23875</v>
      </c>
      <c r="I250">
        <v>23.055910709999999</v>
      </c>
      <c r="J250">
        <v>95.3</v>
      </c>
      <c r="K250">
        <v>38.741666670000001</v>
      </c>
      <c r="L250">
        <v>72.696775790000004</v>
      </c>
      <c r="M250">
        <v>12.47192287</v>
      </c>
      <c r="N250">
        <v>0.54100000000000004</v>
      </c>
      <c r="O250">
        <v>1.94</v>
      </c>
      <c r="P250" t="s">
        <v>217</v>
      </c>
      <c r="Q250" t="s">
        <v>217</v>
      </c>
      <c r="R250" t="s">
        <v>217</v>
      </c>
      <c r="S250" t="s">
        <v>216</v>
      </c>
      <c r="T250" t="s">
        <v>216</v>
      </c>
      <c r="U250" t="s">
        <v>217</v>
      </c>
      <c r="V250">
        <f t="shared" si="12"/>
        <v>16</v>
      </c>
      <c r="W250">
        <f t="shared" si="13"/>
        <v>99</v>
      </c>
      <c r="X250">
        <f t="shared" si="14"/>
        <v>2.2857142857142856</v>
      </c>
      <c r="Y250">
        <f t="shared" si="15"/>
        <v>14.142857142857142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19</v>
      </c>
      <c r="AN250" s="1">
        <v>9</v>
      </c>
      <c r="AO250" s="1">
        <v>0</v>
      </c>
      <c r="AP250" s="1">
        <v>1</v>
      </c>
      <c r="AQ250" s="1">
        <v>0</v>
      </c>
      <c r="AR250" s="1">
        <v>2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10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3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10</v>
      </c>
      <c r="CA250" s="1">
        <v>1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1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8</v>
      </c>
      <c r="CO250" s="1">
        <v>0</v>
      </c>
      <c r="CP250" s="1">
        <v>0</v>
      </c>
      <c r="CQ250" s="1">
        <v>0</v>
      </c>
      <c r="CR250" s="1">
        <v>1</v>
      </c>
      <c r="CS250" s="1">
        <v>0</v>
      </c>
      <c r="CT250" s="1">
        <v>0</v>
      </c>
      <c r="CU250" s="1">
        <v>0</v>
      </c>
      <c r="CV250" s="1">
        <v>10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4</v>
      </c>
      <c r="DC250" s="1">
        <v>12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1</v>
      </c>
      <c r="FJ250" s="1"/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7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</row>
    <row r="251" spans="1:242" x14ac:dyDescent="0.25">
      <c r="A251">
        <v>16497</v>
      </c>
      <c r="B251">
        <v>18</v>
      </c>
      <c r="C251">
        <v>7</v>
      </c>
      <c r="D251" t="s">
        <v>226</v>
      </c>
      <c r="E251" t="s">
        <v>223</v>
      </c>
      <c r="F251">
        <v>9</v>
      </c>
      <c r="G251">
        <v>30.574249999999999</v>
      </c>
      <c r="H251">
        <v>16.50866667</v>
      </c>
      <c r="I251">
        <v>21.893187999999999</v>
      </c>
      <c r="J251">
        <v>94.6</v>
      </c>
      <c r="K251">
        <v>46.191666669999996</v>
      </c>
      <c r="L251">
        <v>75.106845239999998</v>
      </c>
      <c r="M251">
        <v>13.40518404</v>
      </c>
      <c r="N251">
        <v>0.27400000000000002</v>
      </c>
      <c r="O251">
        <v>2.42</v>
      </c>
      <c r="P251" t="s">
        <v>216</v>
      </c>
      <c r="Q251" t="s">
        <v>217</v>
      </c>
      <c r="R251" t="s">
        <v>217</v>
      </c>
      <c r="S251" t="s">
        <v>217</v>
      </c>
      <c r="T251" t="s">
        <v>217</v>
      </c>
      <c r="U251" t="s">
        <v>217</v>
      </c>
      <c r="V251">
        <f t="shared" si="12"/>
        <v>21</v>
      </c>
      <c r="W251">
        <f t="shared" si="13"/>
        <v>101</v>
      </c>
      <c r="X251">
        <f t="shared" si="14"/>
        <v>3</v>
      </c>
      <c r="Y251">
        <f t="shared" si="15"/>
        <v>14.428571428571429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43</v>
      </c>
      <c r="AN251" s="1">
        <v>2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1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2</v>
      </c>
      <c r="BM251" s="1">
        <v>1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8</v>
      </c>
      <c r="CA251" s="1">
        <v>2</v>
      </c>
      <c r="CB251" s="1">
        <v>0</v>
      </c>
      <c r="CC251" s="1">
        <v>0</v>
      </c>
      <c r="CD251" s="1">
        <v>2</v>
      </c>
      <c r="CE251" s="1">
        <v>0</v>
      </c>
      <c r="CF251" s="1">
        <v>0</v>
      </c>
      <c r="CG251" s="1">
        <v>3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1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8</v>
      </c>
      <c r="CU251" s="1">
        <v>0</v>
      </c>
      <c r="CV251" s="1">
        <v>4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6</v>
      </c>
      <c r="DC251" s="1">
        <v>1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2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2</v>
      </c>
      <c r="EA251" s="1">
        <v>0</v>
      </c>
      <c r="EB251" s="1">
        <v>1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9</v>
      </c>
      <c r="EL251" s="1">
        <v>0</v>
      </c>
      <c r="EM251" s="1">
        <v>0</v>
      </c>
      <c r="EN251" s="1">
        <v>1</v>
      </c>
      <c r="EO251" s="1">
        <v>0</v>
      </c>
      <c r="EP251" s="1">
        <v>0</v>
      </c>
      <c r="EQ251" s="1">
        <v>0</v>
      </c>
      <c r="ER251" s="1">
        <v>1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</row>
    <row r="252" spans="1:242" x14ac:dyDescent="0.25">
      <c r="A252">
        <v>16501</v>
      </c>
      <c r="B252">
        <v>18</v>
      </c>
      <c r="C252">
        <v>7</v>
      </c>
      <c r="D252" t="s">
        <v>227</v>
      </c>
      <c r="E252" t="s">
        <v>215</v>
      </c>
      <c r="F252">
        <v>9</v>
      </c>
      <c r="G252">
        <v>34.9315</v>
      </c>
      <c r="H252">
        <v>15.74375</v>
      </c>
      <c r="I252">
        <v>23.352744049999998</v>
      </c>
      <c r="J252">
        <v>96.533333330000005</v>
      </c>
      <c r="K252">
        <v>32.616666670000001</v>
      </c>
      <c r="L252">
        <v>70.638591270000006</v>
      </c>
      <c r="M252">
        <v>12.472203929999999</v>
      </c>
      <c r="N252">
        <v>0.75700000000000001</v>
      </c>
      <c r="O252">
        <v>1.43</v>
      </c>
      <c r="P252" t="s">
        <v>216</v>
      </c>
      <c r="Q252" t="s">
        <v>217</v>
      </c>
      <c r="R252" t="s">
        <v>217</v>
      </c>
      <c r="S252" t="s">
        <v>217</v>
      </c>
      <c r="T252" t="s">
        <v>217</v>
      </c>
      <c r="U252" t="s">
        <v>217</v>
      </c>
      <c r="V252">
        <f t="shared" si="12"/>
        <v>15</v>
      </c>
      <c r="W252">
        <f t="shared" si="13"/>
        <v>127</v>
      </c>
      <c r="X252">
        <f t="shared" si="14"/>
        <v>2.1428571428571428</v>
      </c>
      <c r="Y252">
        <f t="shared" si="15"/>
        <v>18.142857142857142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87</v>
      </c>
      <c r="AN252" s="1">
        <v>3</v>
      </c>
      <c r="AO252" s="1">
        <v>0</v>
      </c>
      <c r="AP252" s="1">
        <v>1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2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7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1</v>
      </c>
      <c r="CN252" s="1">
        <v>3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2</v>
      </c>
      <c r="CU252" s="1">
        <v>0</v>
      </c>
      <c r="CV252" s="1">
        <v>2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4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7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2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1</v>
      </c>
      <c r="IG252">
        <v>0</v>
      </c>
      <c r="IH252">
        <v>3</v>
      </c>
    </row>
    <row r="253" spans="1:242" x14ac:dyDescent="0.25">
      <c r="A253">
        <v>16503</v>
      </c>
      <c r="B253">
        <v>8</v>
      </c>
      <c r="C253">
        <v>7</v>
      </c>
      <c r="D253" t="s">
        <v>226</v>
      </c>
      <c r="E253" t="s">
        <v>223</v>
      </c>
      <c r="F253">
        <v>9</v>
      </c>
      <c r="G253">
        <v>30.048749999999998</v>
      </c>
      <c r="H253">
        <v>17.682749999999999</v>
      </c>
      <c r="I253">
        <v>22.046499319999999</v>
      </c>
      <c r="J253">
        <v>92.333333330000002</v>
      </c>
      <c r="K253">
        <v>49.966666670000002</v>
      </c>
      <c r="L253">
        <v>75.776587300000003</v>
      </c>
      <c r="M253">
        <v>13.402855110000001</v>
      </c>
      <c r="N253">
        <v>0.51200000000000001</v>
      </c>
      <c r="O253">
        <v>2.66</v>
      </c>
      <c r="P253" t="s">
        <v>216</v>
      </c>
      <c r="Q253" t="s">
        <v>216</v>
      </c>
      <c r="R253" t="s">
        <v>217</v>
      </c>
      <c r="S253" t="s">
        <v>217</v>
      </c>
      <c r="T253" t="s">
        <v>217</v>
      </c>
      <c r="U253" t="s">
        <v>216</v>
      </c>
      <c r="V253">
        <f t="shared" si="12"/>
        <v>4</v>
      </c>
      <c r="W253">
        <f t="shared" si="13"/>
        <v>5</v>
      </c>
      <c r="X253">
        <f t="shared" si="14"/>
        <v>0.5714285714285714</v>
      </c>
      <c r="Y253">
        <f t="shared" si="15"/>
        <v>0.7142857142857143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1</v>
      </c>
      <c r="EI253" s="1">
        <v>0</v>
      </c>
      <c r="EJ253" s="1">
        <v>0</v>
      </c>
      <c r="EK253" s="1">
        <v>1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2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1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</row>
    <row r="254" spans="1:242" x14ac:dyDescent="0.25">
      <c r="A254">
        <v>16507</v>
      </c>
      <c r="B254">
        <v>8</v>
      </c>
      <c r="C254">
        <v>7</v>
      </c>
      <c r="D254" t="s">
        <v>227</v>
      </c>
      <c r="E254" t="s">
        <v>215</v>
      </c>
      <c r="F254">
        <v>9</v>
      </c>
      <c r="G254">
        <v>35.006666670000001</v>
      </c>
      <c r="H254">
        <v>17.87683333</v>
      </c>
      <c r="I254">
        <v>23.8739876</v>
      </c>
      <c r="J254">
        <v>91.891666670000006</v>
      </c>
      <c r="K254">
        <v>33.383333329999999</v>
      </c>
      <c r="L254">
        <v>69.997569440000007</v>
      </c>
      <c r="M254">
        <v>12.47153526</v>
      </c>
      <c r="N254">
        <v>1.51</v>
      </c>
      <c r="O254">
        <v>1.47</v>
      </c>
      <c r="P254" t="s">
        <v>216</v>
      </c>
      <c r="Q254" t="s">
        <v>216</v>
      </c>
      <c r="R254" t="s">
        <v>217</v>
      </c>
      <c r="S254" t="s">
        <v>217</v>
      </c>
      <c r="T254" t="s">
        <v>217</v>
      </c>
      <c r="U254" t="s">
        <v>216</v>
      </c>
      <c r="V254">
        <f t="shared" si="12"/>
        <v>3</v>
      </c>
      <c r="W254">
        <f t="shared" si="13"/>
        <v>4</v>
      </c>
      <c r="X254">
        <f t="shared" si="14"/>
        <v>0.42857142857142855</v>
      </c>
      <c r="Y254">
        <f t="shared" si="15"/>
        <v>0.5714285714285714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1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2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1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</row>
    <row r="255" spans="1:242" x14ac:dyDescent="0.25">
      <c r="A255">
        <v>16513</v>
      </c>
      <c r="B255">
        <v>19</v>
      </c>
      <c r="C255">
        <v>7</v>
      </c>
      <c r="D255" t="s">
        <v>227</v>
      </c>
      <c r="E255" t="s">
        <v>215</v>
      </c>
      <c r="F255">
        <v>9</v>
      </c>
      <c r="G255">
        <v>34.853250000000003</v>
      </c>
      <c r="H255">
        <v>17.123583329999999</v>
      </c>
      <c r="I255">
        <v>24.018565970000001</v>
      </c>
      <c r="J255">
        <v>94.008333329999999</v>
      </c>
      <c r="K255">
        <v>35.274999999999999</v>
      </c>
      <c r="L255">
        <v>70.435515870000003</v>
      </c>
      <c r="M255">
        <v>12.47194706</v>
      </c>
      <c r="N255">
        <v>1.19</v>
      </c>
      <c r="O255">
        <v>1.61</v>
      </c>
      <c r="P255" t="s">
        <v>217</v>
      </c>
      <c r="Q255" t="s">
        <v>216</v>
      </c>
      <c r="R255" t="s">
        <v>216</v>
      </c>
      <c r="S255" t="s">
        <v>216</v>
      </c>
      <c r="T255" t="s">
        <v>216</v>
      </c>
      <c r="U255" t="s">
        <v>216</v>
      </c>
      <c r="V255">
        <f t="shared" si="12"/>
        <v>34</v>
      </c>
      <c r="W255">
        <f t="shared" si="13"/>
        <v>320</v>
      </c>
      <c r="X255">
        <f t="shared" si="14"/>
        <v>4.8571428571428568</v>
      </c>
      <c r="Y255">
        <f t="shared" si="15"/>
        <v>45.714285714285715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10</v>
      </c>
      <c r="AG255" s="1">
        <v>0</v>
      </c>
      <c r="AH255" s="1">
        <v>0</v>
      </c>
      <c r="AI255" s="1">
        <v>1</v>
      </c>
      <c r="AJ255" s="1">
        <v>0</v>
      </c>
      <c r="AK255" s="1">
        <v>1</v>
      </c>
      <c r="AL255" s="1">
        <v>0</v>
      </c>
      <c r="AM255" s="1">
        <v>55</v>
      </c>
      <c r="AN255" s="1">
        <v>6</v>
      </c>
      <c r="AO255" s="1">
        <v>0</v>
      </c>
      <c r="AP255" s="1">
        <v>2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1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1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4</v>
      </c>
      <c r="CB255" s="1">
        <v>0</v>
      </c>
      <c r="CC255" s="1">
        <v>0</v>
      </c>
      <c r="CD255" s="1">
        <v>12</v>
      </c>
      <c r="CE255" s="1">
        <v>0</v>
      </c>
      <c r="CF255" s="1">
        <v>0</v>
      </c>
      <c r="CG255" s="1">
        <v>9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2</v>
      </c>
      <c r="CO255" s="1">
        <v>0</v>
      </c>
      <c r="CP255" s="1">
        <v>0</v>
      </c>
      <c r="CQ255" s="1">
        <v>0</v>
      </c>
      <c r="CR255" s="1">
        <v>1</v>
      </c>
      <c r="CS255" s="1">
        <v>0</v>
      </c>
      <c r="CT255" s="1">
        <v>60</v>
      </c>
      <c r="CU255" s="1">
        <v>0</v>
      </c>
      <c r="CV255" s="1">
        <v>8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18</v>
      </c>
      <c r="DC255" s="1">
        <v>2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4</v>
      </c>
      <c r="DP255" s="1">
        <v>1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6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1</v>
      </c>
      <c r="EK255" s="1">
        <v>77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17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4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1</v>
      </c>
      <c r="FM255" s="1">
        <v>2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3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1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5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1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1</v>
      </c>
      <c r="IG255">
        <v>0</v>
      </c>
      <c r="IH255">
        <v>1</v>
      </c>
    </row>
    <row r="256" spans="1:242" x14ac:dyDescent="0.25">
      <c r="A256">
        <v>16519</v>
      </c>
      <c r="B256">
        <v>16</v>
      </c>
      <c r="C256">
        <v>7</v>
      </c>
      <c r="D256" t="s">
        <v>227</v>
      </c>
      <c r="E256" t="s">
        <v>215</v>
      </c>
      <c r="F256">
        <v>8</v>
      </c>
      <c r="G256">
        <v>39.625166669999999</v>
      </c>
      <c r="H256">
        <v>15.31816667</v>
      </c>
      <c r="I256">
        <v>26.310313000000001</v>
      </c>
      <c r="J256">
        <v>90.7</v>
      </c>
      <c r="K256">
        <v>27.891666669999999</v>
      </c>
      <c r="L256">
        <v>60.104017859999999</v>
      </c>
      <c r="M256">
        <v>12.227418979999999</v>
      </c>
      <c r="N256">
        <v>2.4500000000000002</v>
      </c>
      <c r="O256">
        <v>0.497</v>
      </c>
      <c r="P256" t="s">
        <v>217</v>
      </c>
      <c r="Q256" t="s">
        <v>217</v>
      </c>
      <c r="R256" t="s">
        <v>217</v>
      </c>
      <c r="S256" t="s">
        <v>216</v>
      </c>
      <c r="T256" t="s">
        <v>216</v>
      </c>
      <c r="U256" t="s">
        <v>217</v>
      </c>
      <c r="V256">
        <f t="shared" si="12"/>
        <v>38</v>
      </c>
      <c r="W256">
        <f t="shared" si="13"/>
        <v>178</v>
      </c>
      <c r="X256">
        <f t="shared" si="14"/>
        <v>5.4285714285714288</v>
      </c>
      <c r="Y256">
        <f t="shared" si="15"/>
        <v>25.428571428571427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2</v>
      </c>
      <c r="AF256" s="1">
        <v>1</v>
      </c>
      <c r="AG256" s="1">
        <v>0</v>
      </c>
      <c r="AH256" s="1">
        <v>1</v>
      </c>
      <c r="AI256" s="1">
        <v>0</v>
      </c>
      <c r="AJ256" s="1">
        <v>0</v>
      </c>
      <c r="AK256" s="1">
        <v>4</v>
      </c>
      <c r="AL256" s="1">
        <v>0</v>
      </c>
      <c r="AM256" s="1">
        <v>11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2</v>
      </c>
      <c r="BB256" s="1">
        <v>0</v>
      </c>
      <c r="BC256" s="1">
        <v>0</v>
      </c>
      <c r="BD256" s="1">
        <v>0</v>
      </c>
      <c r="BE256" s="1">
        <v>8</v>
      </c>
      <c r="BF256" s="1">
        <v>0</v>
      </c>
      <c r="BG256" s="1">
        <v>16</v>
      </c>
      <c r="BH256" s="1">
        <v>0</v>
      </c>
      <c r="BI256" s="1">
        <v>0</v>
      </c>
      <c r="BJ256" s="1">
        <v>0</v>
      </c>
      <c r="BK256" s="1">
        <v>0</v>
      </c>
      <c r="BL256" s="1">
        <v>2</v>
      </c>
      <c r="BM256" s="1">
        <v>14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1</v>
      </c>
      <c r="BZ256" s="1">
        <v>1</v>
      </c>
      <c r="CA256" s="1">
        <v>5</v>
      </c>
      <c r="CB256" s="1">
        <v>0</v>
      </c>
      <c r="CC256" s="1">
        <v>0</v>
      </c>
      <c r="CD256" s="1">
        <v>1</v>
      </c>
      <c r="CE256" s="1">
        <v>0</v>
      </c>
      <c r="CF256" s="1">
        <v>0</v>
      </c>
      <c r="CG256" s="1">
        <v>11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2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15</v>
      </c>
      <c r="CU256" s="1">
        <v>0</v>
      </c>
      <c r="CV256" s="1">
        <v>22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21</v>
      </c>
      <c r="DC256" s="1">
        <v>2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1</v>
      </c>
      <c r="DP256" s="1">
        <v>2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5</v>
      </c>
      <c r="EA256" s="1">
        <v>0</v>
      </c>
      <c r="EB256" s="1">
        <v>1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1</v>
      </c>
      <c r="EI256" s="1">
        <v>0</v>
      </c>
      <c r="EJ256" s="1">
        <v>0</v>
      </c>
      <c r="EK256" s="1">
        <v>3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1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4</v>
      </c>
      <c r="GB256" s="1">
        <v>1</v>
      </c>
      <c r="GC256" s="1">
        <v>0</v>
      </c>
      <c r="GD256" s="1">
        <v>0</v>
      </c>
      <c r="GE256" s="1">
        <v>1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1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1</v>
      </c>
      <c r="HE256">
        <v>1</v>
      </c>
      <c r="HF256">
        <v>0</v>
      </c>
      <c r="HG256">
        <v>0</v>
      </c>
      <c r="HH256">
        <v>0</v>
      </c>
      <c r="HI256">
        <v>4</v>
      </c>
      <c r="HJ256">
        <v>1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1</v>
      </c>
      <c r="IF256">
        <v>5</v>
      </c>
      <c r="IG256">
        <v>0</v>
      </c>
      <c r="IH256">
        <v>2</v>
      </c>
    </row>
    <row r="257" spans="1:242" x14ac:dyDescent="0.25">
      <c r="A257">
        <v>16525</v>
      </c>
      <c r="B257">
        <v>14</v>
      </c>
      <c r="C257">
        <v>7</v>
      </c>
      <c r="D257" t="s">
        <v>227</v>
      </c>
      <c r="E257" t="s">
        <v>215</v>
      </c>
      <c r="F257">
        <v>3</v>
      </c>
      <c r="G257">
        <v>37.160083329999999</v>
      </c>
      <c r="H257">
        <v>17.17133333</v>
      </c>
      <c r="I257">
        <v>24.281936999999999</v>
      </c>
      <c r="J257">
        <v>94.075000000000003</v>
      </c>
      <c r="K257">
        <v>22.358333330000001</v>
      </c>
      <c r="L257">
        <v>63.934325399999999</v>
      </c>
      <c r="M257">
        <v>12.47221672</v>
      </c>
      <c r="N257">
        <v>1.81</v>
      </c>
      <c r="O257">
        <v>0.69799999999999995</v>
      </c>
      <c r="P257" t="s">
        <v>217</v>
      </c>
      <c r="Q257" t="s">
        <v>217</v>
      </c>
      <c r="R257" t="s">
        <v>217</v>
      </c>
      <c r="S257" t="s">
        <v>216</v>
      </c>
      <c r="T257" t="s">
        <v>216</v>
      </c>
      <c r="U257" t="s">
        <v>217</v>
      </c>
      <c r="V257">
        <f t="shared" si="12"/>
        <v>15</v>
      </c>
      <c r="W257">
        <f t="shared" si="13"/>
        <v>41</v>
      </c>
      <c r="X257">
        <f t="shared" si="14"/>
        <v>2.1428571428571428</v>
      </c>
      <c r="Y257">
        <f t="shared" si="15"/>
        <v>5.8571428571428568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1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2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1</v>
      </c>
      <c r="CS257" s="1">
        <v>0</v>
      </c>
      <c r="CT257" s="1">
        <v>1</v>
      </c>
      <c r="CU257" s="1">
        <v>0</v>
      </c>
      <c r="CV257" s="1">
        <v>1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1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1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1</v>
      </c>
      <c r="EI257" s="1">
        <v>0</v>
      </c>
      <c r="EJ257" s="1">
        <v>0</v>
      </c>
      <c r="EK257" s="1">
        <v>7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7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1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8</v>
      </c>
      <c r="GI257" s="1">
        <v>3</v>
      </c>
      <c r="GJ257" s="1">
        <v>4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2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</row>
    <row r="258" spans="1:242" x14ac:dyDescent="0.25">
      <c r="A258">
        <v>16531</v>
      </c>
      <c r="B258">
        <v>23</v>
      </c>
      <c r="C258">
        <v>6</v>
      </c>
      <c r="D258" t="s">
        <v>227</v>
      </c>
      <c r="E258" t="s">
        <v>215</v>
      </c>
      <c r="F258">
        <v>5</v>
      </c>
      <c r="G258">
        <v>39.361416669999997</v>
      </c>
      <c r="H258">
        <v>16.66341667</v>
      </c>
      <c r="I258">
        <v>24.75969147</v>
      </c>
      <c r="J258">
        <v>94.858333329999994</v>
      </c>
      <c r="K258">
        <v>24.81666667</v>
      </c>
      <c r="L258">
        <v>64.413640869999995</v>
      </c>
      <c r="M258">
        <v>12.472734839999999</v>
      </c>
      <c r="N258">
        <v>1.92</v>
      </c>
      <c r="O258">
        <v>0.81599999999999995</v>
      </c>
      <c r="P258" t="s">
        <v>217</v>
      </c>
      <c r="Q258" t="s">
        <v>217</v>
      </c>
      <c r="R258" t="s">
        <v>216</v>
      </c>
      <c r="S258" t="s">
        <v>216</v>
      </c>
      <c r="T258" t="s">
        <v>216</v>
      </c>
      <c r="U258" t="s">
        <v>217</v>
      </c>
      <c r="V258">
        <f t="shared" si="12"/>
        <v>21</v>
      </c>
      <c r="W258">
        <f t="shared" si="13"/>
        <v>108</v>
      </c>
      <c r="X258">
        <f t="shared" si="14"/>
        <v>3.5</v>
      </c>
      <c r="Y258">
        <f t="shared" si="15"/>
        <v>18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0</v>
      </c>
      <c r="AM258" s="1">
        <v>7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7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17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1</v>
      </c>
      <c r="CS258" s="1">
        <v>0</v>
      </c>
      <c r="CT258" s="1">
        <v>6</v>
      </c>
      <c r="CU258" s="1">
        <v>0</v>
      </c>
      <c r="CV258" s="1">
        <v>3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6</v>
      </c>
      <c r="DC258" s="1">
        <v>1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2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1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3</v>
      </c>
      <c r="EK258" s="1">
        <v>41</v>
      </c>
      <c r="EL258" s="1">
        <v>0</v>
      </c>
      <c r="EM258" s="1">
        <v>0</v>
      </c>
      <c r="EN258" s="1">
        <v>1</v>
      </c>
      <c r="EO258" s="1">
        <v>0</v>
      </c>
      <c r="EP258" s="1">
        <v>0</v>
      </c>
      <c r="EQ258" s="1">
        <v>0</v>
      </c>
      <c r="ER258" s="1">
        <v>1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1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1</v>
      </c>
      <c r="FN258" s="1">
        <v>0</v>
      </c>
      <c r="FO258" s="1">
        <v>0</v>
      </c>
      <c r="FP258" s="1">
        <v>1</v>
      </c>
      <c r="FQ258" s="1">
        <v>0</v>
      </c>
      <c r="FR258" s="1">
        <v>0</v>
      </c>
      <c r="FS258" s="1">
        <v>0</v>
      </c>
      <c r="FT258" s="1">
        <v>5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</row>
    <row r="259" spans="1:242" x14ac:dyDescent="0.25">
      <c r="A259">
        <v>16535</v>
      </c>
      <c r="B259">
        <v>1</v>
      </c>
      <c r="C259">
        <v>7</v>
      </c>
      <c r="D259" t="s">
        <v>228</v>
      </c>
      <c r="E259" t="s">
        <v>215</v>
      </c>
      <c r="F259">
        <v>9</v>
      </c>
      <c r="G259">
        <v>39.467500000000001</v>
      </c>
      <c r="H259">
        <v>15.728</v>
      </c>
      <c r="I259">
        <v>23.938887900000001</v>
      </c>
      <c r="J259">
        <v>98.916666669999998</v>
      </c>
      <c r="K259">
        <v>10.85</v>
      </c>
      <c r="L259">
        <v>57.212996029999999</v>
      </c>
      <c r="M259">
        <v>11.493838309999999</v>
      </c>
      <c r="N259">
        <v>1.51</v>
      </c>
      <c r="O259">
        <v>-0.314</v>
      </c>
      <c r="P259" t="s">
        <v>216</v>
      </c>
      <c r="Q259" t="s">
        <v>216</v>
      </c>
      <c r="R259" t="s">
        <v>216</v>
      </c>
      <c r="S259" t="s">
        <v>216</v>
      </c>
      <c r="T259" t="s">
        <v>216</v>
      </c>
      <c r="U259" t="s">
        <v>216</v>
      </c>
      <c r="V259">
        <f t="shared" ref="V259:V322" si="16">COUNTIF(Z259:IH259, "&gt;0")</f>
        <v>13</v>
      </c>
      <c r="W259">
        <f t="shared" ref="W259:W322" si="17">SUM(Z259:IH259)</f>
        <v>89</v>
      </c>
      <c r="X259">
        <f t="shared" ref="X259:X322" si="18">V259/C259</f>
        <v>1.8571428571428572</v>
      </c>
      <c r="Y259">
        <f t="shared" ref="Y259:Y322" si="19">W259/C259</f>
        <v>12.714285714285714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2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1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1</v>
      </c>
      <c r="CS259" s="1">
        <v>0</v>
      </c>
      <c r="CT259" s="1">
        <v>1</v>
      </c>
      <c r="CU259" s="1">
        <v>0</v>
      </c>
      <c r="CV259" s="1">
        <v>7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39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2</v>
      </c>
      <c r="EC259" s="1">
        <v>0</v>
      </c>
      <c r="ED259" s="1">
        <v>0</v>
      </c>
      <c r="EE259" s="1">
        <v>0</v>
      </c>
      <c r="EF259" s="1">
        <v>0</v>
      </c>
      <c r="EG259" s="1">
        <v>1</v>
      </c>
      <c r="EH259" s="1">
        <v>2</v>
      </c>
      <c r="EI259" s="1">
        <v>0</v>
      </c>
      <c r="EJ259" s="1">
        <v>0</v>
      </c>
      <c r="EK259" s="1">
        <v>11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2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14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6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</row>
    <row r="260" spans="1:242" x14ac:dyDescent="0.25">
      <c r="A260">
        <v>16538</v>
      </c>
      <c r="B260">
        <v>17</v>
      </c>
      <c r="C260">
        <v>7</v>
      </c>
      <c r="D260" t="s">
        <v>227</v>
      </c>
      <c r="E260" t="s">
        <v>215</v>
      </c>
      <c r="F260">
        <v>6</v>
      </c>
      <c r="G260">
        <v>37.950083329999998</v>
      </c>
      <c r="H260">
        <v>16.129249999999999</v>
      </c>
      <c r="I260">
        <v>24.526583330000001</v>
      </c>
      <c r="J260">
        <v>93.433333329999996</v>
      </c>
      <c r="K260">
        <v>25.283333330000001</v>
      </c>
      <c r="L260">
        <v>61.716220239999998</v>
      </c>
      <c r="M260">
        <v>12.473373990000001</v>
      </c>
      <c r="N260">
        <v>1.9</v>
      </c>
      <c r="O260">
        <v>0.61099999999999999</v>
      </c>
      <c r="P260" t="s">
        <v>216</v>
      </c>
      <c r="Q260" t="s">
        <v>217</v>
      </c>
      <c r="R260" t="s">
        <v>217</v>
      </c>
      <c r="S260" t="s">
        <v>217</v>
      </c>
      <c r="T260" t="s">
        <v>217</v>
      </c>
      <c r="U260" t="s">
        <v>216</v>
      </c>
      <c r="V260">
        <f t="shared" si="16"/>
        <v>18</v>
      </c>
      <c r="W260">
        <f t="shared" si="17"/>
        <v>121</v>
      </c>
      <c r="X260">
        <f t="shared" si="18"/>
        <v>2.5714285714285716</v>
      </c>
      <c r="Y260">
        <f t="shared" si="19"/>
        <v>17.285714285714285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1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37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3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1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8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2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18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1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3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5</v>
      </c>
      <c r="EI260" s="1">
        <v>0</v>
      </c>
      <c r="EJ260" s="1">
        <v>1</v>
      </c>
      <c r="EK260" s="1">
        <v>27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5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1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5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1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1</v>
      </c>
      <c r="HE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</row>
    <row r="261" spans="1:242" x14ac:dyDescent="0.25">
      <c r="A261">
        <v>16544</v>
      </c>
      <c r="B261">
        <v>27</v>
      </c>
      <c r="C261">
        <v>7</v>
      </c>
      <c r="D261" t="s">
        <v>227</v>
      </c>
      <c r="E261" t="s">
        <v>215</v>
      </c>
      <c r="F261">
        <v>3</v>
      </c>
      <c r="G261">
        <v>35.475499999999997</v>
      </c>
      <c r="H261">
        <v>17.44875</v>
      </c>
      <c r="I261">
        <v>23.59395288</v>
      </c>
      <c r="J261">
        <v>92.174999999999997</v>
      </c>
      <c r="K261">
        <v>29.158333330000001</v>
      </c>
      <c r="L261">
        <v>65.605208329999996</v>
      </c>
      <c r="M261">
        <v>12.47269262</v>
      </c>
      <c r="N261">
        <v>1.63</v>
      </c>
      <c r="O261">
        <v>1.02</v>
      </c>
      <c r="P261" t="s">
        <v>217</v>
      </c>
      <c r="Q261" t="s">
        <v>217</v>
      </c>
      <c r="R261" t="s">
        <v>217</v>
      </c>
      <c r="S261" t="s">
        <v>217</v>
      </c>
      <c r="T261" t="s">
        <v>217</v>
      </c>
      <c r="U261" t="s">
        <v>216</v>
      </c>
      <c r="V261">
        <f t="shared" si="16"/>
        <v>5</v>
      </c>
      <c r="W261">
        <f t="shared" si="17"/>
        <v>6</v>
      </c>
      <c r="X261">
        <f t="shared" si="18"/>
        <v>0.7142857142857143</v>
      </c>
      <c r="Y261">
        <f t="shared" si="19"/>
        <v>0.8571428571428571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1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1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1</v>
      </c>
      <c r="BZ261" s="1">
        <v>1</v>
      </c>
      <c r="CA261" s="1">
        <v>0</v>
      </c>
      <c r="CB261" s="1">
        <v>0</v>
      </c>
      <c r="CC261" s="1">
        <v>0</v>
      </c>
      <c r="CD261" s="1">
        <v>2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</row>
    <row r="262" spans="1:242" x14ac:dyDescent="0.25">
      <c r="A262">
        <v>16550</v>
      </c>
      <c r="B262">
        <v>13</v>
      </c>
      <c r="C262">
        <v>7</v>
      </c>
      <c r="D262" t="s">
        <v>227</v>
      </c>
      <c r="E262" t="s">
        <v>215</v>
      </c>
      <c r="F262">
        <v>1</v>
      </c>
      <c r="G262">
        <v>36.359000000000002</v>
      </c>
      <c r="H262">
        <v>15.2605</v>
      </c>
      <c r="I262">
        <v>23.41493552</v>
      </c>
      <c r="J262">
        <v>96.991666670000001</v>
      </c>
      <c r="K262">
        <v>27.574999999999999</v>
      </c>
      <c r="L262">
        <v>63.55431548</v>
      </c>
      <c r="M262">
        <v>12.473235259999999</v>
      </c>
      <c r="N262">
        <v>1.07</v>
      </c>
      <c r="O262">
        <v>0.83499999999999996</v>
      </c>
      <c r="P262" t="s">
        <v>217</v>
      </c>
      <c r="Q262" t="s">
        <v>217</v>
      </c>
      <c r="R262" t="s">
        <v>217</v>
      </c>
      <c r="S262" t="s">
        <v>216</v>
      </c>
      <c r="T262" t="s">
        <v>216</v>
      </c>
      <c r="U262" t="s">
        <v>217</v>
      </c>
      <c r="V262">
        <f t="shared" si="16"/>
        <v>39</v>
      </c>
      <c r="W262">
        <f t="shared" si="17"/>
        <v>148</v>
      </c>
      <c r="X262">
        <f t="shared" si="18"/>
        <v>5.5714285714285712</v>
      </c>
      <c r="Y262">
        <f t="shared" si="19"/>
        <v>21.142857142857142</v>
      </c>
      <c r="Z262" s="1">
        <v>0</v>
      </c>
      <c r="AA262" s="1">
        <v>0</v>
      </c>
      <c r="AB262" s="1">
        <v>0</v>
      </c>
      <c r="AC262" s="1">
        <v>1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2</v>
      </c>
      <c r="AK262" s="1">
        <v>0</v>
      </c>
      <c r="AL262" s="1">
        <v>0</v>
      </c>
      <c r="AM262" s="1">
        <v>5</v>
      </c>
      <c r="AN262" s="1">
        <v>2</v>
      </c>
      <c r="AO262" s="1">
        <v>0</v>
      </c>
      <c r="AP262" s="1">
        <v>1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6</v>
      </c>
      <c r="AY262" s="1">
        <v>0</v>
      </c>
      <c r="AZ262" s="1">
        <v>0</v>
      </c>
      <c r="BA262" s="1">
        <v>0</v>
      </c>
      <c r="BB262" s="1">
        <v>2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2</v>
      </c>
      <c r="BM262" s="1">
        <v>3</v>
      </c>
      <c r="BN262" s="1">
        <v>0</v>
      </c>
      <c r="BO262" s="1">
        <v>2</v>
      </c>
      <c r="BP262" s="1">
        <v>0</v>
      </c>
      <c r="BQ262" s="1">
        <v>0</v>
      </c>
      <c r="BR262" s="1">
        <v>0</v>
      </c>
      <c r="BS262" s="1">
        <v>1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2</v>
      </c>
      <c r="BZ262" s="1">
        <v>10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36</v>
      </c>
      <c r="CI262" s="1">
        <v>1</v>
      </c>
      <c r="CJ262" s="1">
        <v>0</v>
      </c>
      <c r="CK262" s="1">
        <v>0</v>
      </c>
      <c r="CL262" s="1">
        <v>0</v>
      </c>
      <c r="CM262" s="1">
        <v>1</v>
      </c>
      <c r="CN262" s="1">
        <v>0</v>
      </c>
      <c r="CO262" s="1">
        <v>0</v>
      </c>
      <c r="CP262" s="1">
        <v>0</v>
      </c>
      <c r="CQ262" s="1">
        <v>0</v>
      </c>
      <c r="CR262" s="1">
        <v>7</v>
      </c>
      <c r="CS262" s="1">
        <v>0</v>
      </c>
      <c r="CT262" s="1">
        <v>1</v>
      </c>
      <c r="CU262" s="1">
        <v>0</v>
      </c>
      <c r="CV262" s="1">
        <v>6</v>
      </c>
      <c r="CW262" s="1">
        <v>14</v>
      </c>
      <c r="CX262" s="1">
        <v>0</v>
      </c>
      <c r="CY262" s="1">
        <v>0</v>
      </c>
      <c r="CZ262" s="1">
        <v>0</v>
      </c>
      <c r="DA262" s="1">
        <v>0</v>
      </c>
      <c r="DB262" s="1">
        <v>1</v>
      </c>
      <c r="DC262" s="1">
        <v>2</v>
      </c>
      <c r="DD262" s="1">
        <v>1</v>
      </c>
      <c r="DE262" s="1">
        <v>1</v>
      </c>
      <c r="DF262" s="1">
        <v>0</v>
      </c>
      <c r="DG262" s="1">
        <v>1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2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1</v>
      </c>
      <c r="EA262" s="1">
        <v>0</v>
      </c>
      <c r="EB262" s="1">
        <v>4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12</v>
      </c>
      <c r="EK262" s="1">
        <v>3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2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6</v>
      </c>
      <c r="FA262" s="1">
        <v>0</v>
      </c>
      <c r="FB262" s="1">
        <v>0</v>
      </c>
      <c r="FC262" s="1">
        <v>1</v>
      </c>
      <c r="FD262" s="1">
        <v>0</v>
      </c>
      <c r="FE262" s="1">
        <v>1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1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1</v>
      </c>
      <c r="GI262" s="1">
        <v>1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1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1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</row>
    <row r="263" spans="1:242" x14ac:dyDescent="0.25">
      <c r="A263">
        <v>16556</v>
      </c>
      <c r="B263">
        <v>7</v>
      </c>
      <c r="C263">
        <v>7</v>
      </c>
      <c r="D263" t="s">
        <v>228</v>
      </c>
      <c r="E263" t="s">
        <v>215</v>
      </c>
      <c r="F263">
        <v>3</v>
      </c>
      <c r="G263">
        <v>39.83516667</v>
      </c>
      <c r="H263">
        <v>15.56291667</v>
      </c>
      <c r="I263">
        <v>25.46683599</v>
      </c>
      <c r="J263">
        <v>94.241666670000001</v>
      </c>
      <c r="K263">
        <v>11.116666670000001</v>
      </c>
      <c r="L263">
        <v>43.458333330000002</v>
      </c>
      <c r="M263">
        <v>11.49192925</v>
      </c>
      <c r="N263">
        <v>2.54</v>
      </c>
      <c r="O263">
        <v>-1.03</v>
      </c>
      <c r="P263" t="s">
        <v>216</v>
      </c>
      <c r="Q263" t="s">
        <v>216</v>
      </c>
      <c r="R263" t="s">
        <v>217</v>
      </c>
      <c r="S263" t="s">
        <v>216</v>
      </c>
      <c r="T263" t="s">
        <v>216</v>
      </c>
      <c r="U263" t="s">
        <v>217</v>
      </c>
      <c r="V263">
        <f t="shared" si="16"/>
        <v>29</v>
      </c>
      <c r="W263">
        <f t="shared" si="17"/>
        <v>98</v>
      </c>
      <c r="X263">
        <f t="shared" si="18"/>
        <v>4.1428571428571432</v>
      </c>
      <c r="Y263">
        <f t="shared" si="19"/>
        <v>14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1</v>
      </c>
      <c r="AK263" s="1">
        <v>1</v>
      </c>
      <c r="AL263" s="1">
        <v>0</v>
      </c>
      <c r="AM263" s="1">
        <v>6</v>
      </c>
      <c r="AN263" s="1">
        <v>1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1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1</v>
      </c>
      <c r="BM263" s="1">
        <v>3</v>
      </c>
      <c r="BN263" s="1">
        <v>0</v>
      </c>
      <c r="BO263" s="1">
        <v>1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3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3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7</v>
      </c>
      <c r="CS263" s="1">
        <v>0</v>
      </c>
      <c r="CT263" s="1">
        <v>13</v>
      </c>
      <c r="CU263" s="1">
        <v>0</v>
      </c>
      <c r="CV263" s="1">
        <v>2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1</v>
      </c>
      <c r="DC263" s="1">
        <v>0</v>
      </c>
      <c r="DD263" s="1">
        <v>0</v>
      </c>
      <c r="DE263" s="1">
        <v>0</v>
      </c>
      <c r="DF263" s="1">
        <v>0</v>
      </c>
      <c r="DG263" s="1">
        <v>1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4</v>
      </c>
      <c r="EA263" s="1">
        <v>0</v>
      </c>
      <c r="EB263" s="1">
        <v>3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4</v>
      </c>
      <c r="EI263" s="1">
        <v>0</v>
      </c>
      <c r="EJ263" s="1">
        <v>0</v>
      </c>
      <c r="EK263" s="1">
        <v>21</v>
      </c>
      <c r="EL263" s="1">
        <v>1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1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4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1</v>
      </c>
      <c r="FL263" s="1">
        <v>0</v>
      </c>
      <c r="FM263" s="1">
        <v>4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1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1</v>
      </c>
      <c r="GF263" s="1">
        <v>0</v>
      </c>
      <c r="GG263" s="1">
        <v>0</v>
      </c>
      <c r="GH263" s="1">
        <v>6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</row>
    <row r="264" spans="1:242" x14ac:dyDescent="0.25">
      <c r="A264">
        <v>16560</v>
      </c>
      <c r="B264">
        <v>7</v>
      </c>
      <c r="C264">
        <v>7</v>
      </c>
      <c r="D264" t="s">
        <v>229</v>
      </c>
      <c r="E264" t="s">
        <v>215</v>
      </c>
      <c r="F264">
        <v>3</v>
      </c>
      <c r="G264">
        <v>34.736249999999998</v>
      </c>
      <c r="H264">
        <v>12.77258333</v>
      </c>
      <c r="I264">
        <v>20.432343249999999</v>
      </c>
      <c r="J264">
        <v>92.05</v>
      </c>
      <c r="K264">
        <v>14.258333329999999</v>
      </c>
      <c r="L264">
        <v>48.991319439999998</v>
      </c>
      <c r="M264">
        <v>10.39558231</v>
      </c>
      <c r="N264">
        <v>0.92900000000000005</v>
      </c>
      <c r="O264">
        <v>-1.49</v>
      </c>
      <c r="P264" t="s">
        <v>216</v>
      </c>
      <c r="Q264" t="s">
        <v>216</v>
      </c>
      <c r="R264" t="s">
        <v>217</v>
      </c>
      <c r="S264" t="s">
        <v>216</v>
      </c>
      <c r="T264" t="s">
        <v>216</v>
      </c>
      <c r="U264" t="s">
        <v>217</v>
      </c>
      <c r="V264">
        <f t="shared" si="16"/>
        <v>22</v>
      </c>
      <c r="W264">
        <f t="shared" si="17"/>
        <v>68</v>
      </c>
      <c r="X264">
        <f t="shared" si="18"/>
        <v>3.1428571428571428</v>
      </c>
      <c r="Y264">
        <f t="shared" si="19"/>
        <v>9.7142857142857135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2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</v>
      </c>
      <c r="AY264" s="1">
        <v>0</v>
      </c>
      <c r="AZ264" s="1">
        <v>0</v>
      </c>
      <c r="BA264" s="1">
        <v>0</v>
      </c>
      <c r="BB264" s="1">
        <v>1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2</v>
      </c>
      <c r="BM264" s="1">
        <v>4</v>
      </c>
      <c r="BN264" s="1">
        <v>0</v>
      </c>
      <c r="BO264" s="1">
        <v>5</v>
      </c>
      <c r="BP264" s="1">
        <v>0</v>
      </c>
      <c r="BQ264" s="1">
        <v>0</v>
      </c>
      <c r="BR264" s="1">
        <v>0</v>
      </c>
      <c r="BS264" s="1">
        <v>1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2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2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10</v>
      </c>
      <c r="CS264" s="1">
        <v>0</v>
      </c>
      <c r="CT264" s="1">
        <v>3</v>
      </c>
      <c r="CU264" s="1">
        <v>0</v>
      </c>
      <c r="CV264" s="1">
        <v>7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2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4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1</v>
      </c>
      <c r="EK264" s="1">
        <v>8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2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5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1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1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2</v>
      </c>
      <c r="GI264" s="1">
        <v>0</v>
      </c>
      <c r="GJ264" s="1">
        <v>2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</row>
    <row r="265" spans="1:242" x14ac:dyDescent="0.25">
      <c r="A265">
        <v>16562</v>
      </c>
      <c r="B265">
        <v>31</v>
      </c>
      <c r="C265">
        <v>7</v>
      </c>
      <c r="D265" t="s">
        <v>227</v>
      </c>
      <c r="E265" t="s">
        <v>215</v>
      </c>
      <c r="F265">
        <v>4</v>
      </c>
      <c r="G265">
        <v>35.762500000000003</v>
      </c>
      <c r="H265">
        <v>16.776499999999999</v>
      </c>
      <c r="I265">
        <v>23.865879459999999</v>
      </c>
      <c r="J265">
        <v>94.058333329999996</v>
      </c>
      <c r="K265">
        <v>28.324999999999999</v>
      </c>
      <c r="L265">
        <v>64.032738100000003</v>
      </c>
      <c r="M265">
        <v>12.472569249999999</v>
      </c>
      <c r="N265">
        <v>1.49</v>
      </c>
      <c r="O265">
        <v>0.94699999999999995</v>
      </c>
      <c r="P265" t="s">
        <v>217</v>
      </c>
      <c r="Q265" t="s">
        <v>216</v>
      </c>
      <c r="R265" t="s">
        <v>217</v>
      </c>
      <c r="S265" t="s">
        <v>216</v>
      </c>
      <c r="T265" t="s">
        <v>216</v>
      </c>
      <c r="U265" t="s">
        <v>217</v>
      </c>
      <c r="V265">
        <f t="shared" si="16"/>
        <v>8</v>
      </c>
      <c r="W265">
        <f t="shared" si="17"/>
        <v>12</v>
      </c>
      <c r="X265">
        <f t="shared" si="18"/>
        <v>1.1428571428571428</v>
      </c>
      <c r="Y265">
        <f t="shared" si="19"/>
        <v>1.7142857142857142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1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2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2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1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3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1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1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</row>
    <row r="266" spans="1:242" x14ac:dyDescent="0.25">
      <c r="A266">
        <v>16568</v>
      </c>
      <c r="B266">
        <v>21</v>
      </c>
      <c r="C266">
        <v>7</v>
      </c>
      <c r="D266" t="s">
        <v>227</v>
      </c>
      <c r="E266" t="s">
        <v>215</v>
      </c>
      <c r="F266">
        <v>5</v>
      </c>
      <c r="G266">
        <v>37.026166670000002</v>
      </c>
      <c r="H266">
        <v>17.496416669999999</v>
      </c>
      <c r="I266">
        <v>24.785499999999999</v>
      </c>
      <c r="J266">
        <v>91.025000000000006</v>
      </c>
      <c r="K266">
        <v>24.641666669999999</v>
      </c>
      <c r="L266">
        <v>61.832440480000002</v>
      </c>
      <c r="M266">
        <v>12.473531639999999</v>
      </c>
      <c r="N266">
        <v>2.2200000000000002</v>
      </c>
      <c r="O266">
        <v>0.64400000000000002</v>
      </c>
      <c r="P266" t="s">
        <v>217</v>
      </c>
      <c r="Q266" t="s">
        <v>217</v>
      </c>
      <c r="R266" t="s">
        <v>217</v>
      </c>
      <c r="S266" t="s">
        <v>217</v>
      </c>
      <c r="T266" t="s">
        <v>217</v>
      </c>
      <c r="U266" t="s">
        <v>217</v>
      </c>
      <c r="V266">
        <f t="shared" si="16"/>
        <v>4</v>
      </c>
      <c r="W266">
        <f t="shared" si="17"/>
        <v>8</v>
      </c>
      <c r="X266">
        <f t="shared" si="18"/>
        <v>0.5714285714285714</v>
      </c>
      <c r="Y266">
        <f t="shared" si="19"/>
        <v>1.1428571428571428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5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1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1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1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</row>
    <row r="267" spans="1:242" x14ac:dyDescent="0.25">
      <c r="A267">
        <v>16574</v>
      </c>
      <c r="B267">
        <v>29</v>
      </c>
      <c r="C267">
        <v>7</v>
      </c>
      <c r="D267" t="s">
        <v>227</v>
      </c>
      <c r="E267" t="s">
        <v>215</v>
      </c>
      <c r="F267">
        <v>3</v>
      </c>
      <c r="G267">
        <v>38.905083329999997</v>
      </c>
      <c r="H267">
        <v>16.841999999999999</v>
      </c>
      <c r="I267">
        <v>24.539850690000002</v>
      </c>
      <c r="J267">
        <v>94.658333330000005</v>
      </c>
      <c r="K267">
        <v>23.44166667</v>
      </c>
      <c r="L267">
        <v>61.134672620000003</v>
      </c>
      <c r="M267">
        <v>12.47285759</v>
      </c>
      <c r="N267">
        <v>1.98</v>
      </c>
      <c r="O267">
        <v>0.61299999999999999</v>
      </c>
      <c r="P267" t="s">
        <v>217</v>
      </c>
      <c r="Q267" t="s">
        <v>217</v>
      </c>
      <c r="R267" t="s">
        <v>217</v>
      </c>
      <c r="S267" t="s">
        <v>217</v>
      </c>
      <c r="T267" t="s">
        <v>217</v>
      </c>
      <c r="U267" t="s">
        <v>217</v>
      </c>
      <c r="V267">
        <f t="shared" si="16"/>
        <v>9</v>
      </c>
      <c r="W267">
        <f t="shared" si="17"/>
        <v>14</v>
      </c>
      <c r="X267">
        <f t="shared" si="18"/>
        <v>1.2857142857142858</v>
      </c>
      <c r="Y267">
        <f t="shared" si="19"/>
        <v>2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1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1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3</v>
      </c>
      <c r="EI267" s="1">
        <v>0</v>
      </c>
      <c r="EJ267" s="1">
        <v>1</v>
      </c>
      <c r="EK267" s="1">
        <v>1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3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1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2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</row>
    <row r="268" spans="1:242" x14ac:dyDescent="0.25">
      <c r="A268">
        <v>16578</v>
      </c>
      <c r="B268">
        <v>29</v>
      </c>
      <c r="C268">
        <v>7</v>
      </c>
      <c r="D268" t="s">
        <v>228</v>
      </c>
      <c r="E268" t="s">
        <v>215</v>
      </c>
      <c r="F268">
        <v>3</v>
      </c>
      <c r="G268">
        <v>40.489166670000003</v>
      </c>
      <c r="H268">
        <v>15.053333329999999</v>
      </c>
      <c r="I268">
        <v>25.75156994</v>
      </c>
      <c r="J268">
        <v>88.1</v>
      </c>
      <c r="K268">
        <v>7.6916666669999998</v>
      </c>
      <c r="L268">
        <v>34.486061509999999</v>
      </c>
      <c r="M268">
        <v>11.491459000000001</v>
      </c>
      <c r="N268">
        <v>3.5</v>
      </c>
      <c r="O268">
        <v>-1.91</v>
      </c>
      <c r="P268" t="s">
        <v>217</v>
      </c>
      <c r="Q268" t="s">
        <v>217</v>
      </c>
      <c r="R268" t="s">
        <v>217</v>
      </c>
      <c r="S268" t="s">
        <v>217</v>
      </c>
      <c r="T268" t="s">
        <v>217</v>
      </c>
      <c r="U268" t="s">
        <v>217</v>
      </c>
      <c r="V268">
        <f t="shared" si="16"/>
        <v>20</v>
      </c>
      <c r="W268">
        <f t="shared" si="17"/>
        <v>87</v>
      </c>
      <c r="X268">
        <f t="shared" si="18"/>
        <v>2.8571428571428572</v>
      </c>
      <c r="Y268">
        <f t="shared" si="19"/>
        <v>12.428571428571429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4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1</v>
      </c>
      <c r="BM268" s="1">
        <v>0</v>
      </c>
      <c r="BN268" s="1">
        <v>0</v>
      </c>
      <c r="BO268" s="1">
        <v>1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1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5</v>
      </c>
      <c r="CS268" s="1">
        <v>0</v>
      </c>
      <c r="CT268" s="1">
        <v>0</v>
      </c>
      <c r="CU268" s="1">
        <v>0</v>
      </c>
      <c r="CV268" s="1">
        <v>8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2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14</v>
      </c>
      <c r="EA268" s="1">
        <v>1</v>
      </c>
      <c r="EB268" s="1">
        <v>3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8</v>
      </c>
      <c r="EI268" s="1">
        <v>0</v>
      </c>
      <c r="EJ268" s="1">
        <v>8</v>
      </c>
      <c r="EK268" s="1">
        <v>11</v>
      </c>
      <c r="EL268" s="1">
        <v>1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11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4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0</v>
      </c>
      <c r="FL268" s="1">
        <v>0</v>
      </c>
      <c r="FM268" s="1">
        <v>1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1</v>
      </c>
      <c r="GI268" s="1">
        <v>0</v>
      </c>
      <c r="GJ268" s="1">
        <v>1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</row>
    <row r="269" spans="1:242" x14ac:dyDescent="0.25">
      <c r="A269">
        <v>16580</v>
      </c>
      <c r="B269">
        <v>24</v>
      </c>
      <c r="C269">
        <v>7</v>
      </c>
      <c r="D269" t="s">
        <v>227</v>
      </c>
      <c r="E269" t="s">
        <v>215</v>
      </c>
      <c r="F269">
        <v>3</v>
      </c>
      <c r="G269">
        <v>36.745249999999999</v>
      </c>
      <c r="H269">
        <v>20.868833330000001</v>
      </c>
      <c r="I269">
        <v>26.355935519999999</v>
      </c>
      <c r="J269">
        <v>95.433333329999996</v>
      </c>
      <c r="K269">
        <v>23.25</v>
      </c>
      <c r="L269">
        <v>61.993551590000003</v>
      </c>
      <c r="M269">
        <v>12.47304478</v>
      </c>
      <c r="N269">
        <v>2.2799999999999998</v>
      </c>
      <c r="O269">
        <v>1.25</v>
      </c>
      <c r="P269" t="s">
        <v>217</v>
      </c>
      <c r="Q269" t="s">
        <v>217</v>
      </c>
      <c r="R269" t="s">
        <v>217</v>
      </c>
      <c r="S269" t="s">
        <v>217</v>
      </c>
      <c r="T269" t="s">
        <v>217</v>
      </c>
      <c r="U269" t="s">
        <v>217</v>
      </c>
      <c r="V269">
        <f t="shared" si="16"/>
        <v>14</v>
      </c>
      <c r="W269">
        <f t="shared" si="17"/>
        <v>40</v>
      </c>
      <c r="X269">
        <f t="shared" si="18"/>
        <v>2</v>
      </c>
      <c r="Y269">
        <f t="shared" si="19"/>
        <v>5.7142857142857144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7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1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1</v>
      </c>
      <c r="BM269" s="1">
        <v>1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3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7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2</v>
      </c>
      <c r="CU269" s="1">
        <v>0</v>
      </c>
      <c r="CV269" s="1">
        <v>1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2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3</v>
      </c>
      <c r="EI269" s="1">
        <v>0</v>
      </c>
      <c r="EJ269" s="1">
        <v>0</v>
      </c>
      <c r="EK269" s="1">
        <v>8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2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1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</row>
    <row r="270" spans="1:242" x14ac:dyDescent="0.25">
      <c r="A270">
        <v>16584</v>
      </c>
      <c r="B270">
        <v>24</v>
      </c>
      <c r="C270">
        <v>7</v>
      </c>
      <c r="D270" t="s">
        <v>228</v>
      </c>
      <c r="E270" t="s">
        <v>215</v>
      </c>
      <c r="F270">
        <v>3</v>
      </c>
      <c r="G270">
        <v>33.05391667</v>
      </c>
      <c r="H270">
        <v>17.480583330000002</v>
      </c>
      <c r="I270">
        <v>22.508372520000002</v>
      </c>
      <c r="J270">
        <v>88.841666669999995</v>
      </c>
      <c r="K270">
        <v>8.6333333329999995</v>
      </c>
      <c r="L270">
        <v>38.611309519999999</v>
      </c>
      <c r="M270">
        <v>11.491163240000001</v>
      </c>
      <c r="N270">
        <v>2.36</v>
      </c>
      <c r="O270">
        <v>-1.49</v>
      </c>
      <c r="P270" t="s">
        <v>217</v>
      </c>
      <c r="Q270" t="s">
        <v>217</v>
      </c>
      <c r="R270" t="s">
        <v>217</v>
      </c>
      <c r="S270" t="s">
        <v>217</v>
      </c>
      <c r="T270" t="s">
        <v>217</v>
      </c>
      <c r="U270" t="s">
        <v>217</v>
      </c>
      <c r="V270">
        <f t="shared" si="16"/>
        <v>15</v>
      </c>
      <c r="W270">
        <f t="shared" si="17"/>
        <v>51</v>
      </c>
      <c r="X270">
        <f t="shared" si="18"/>
        <v>2.1428571428571428</v>
      </c>
      <c r="Y270">
        <f t="shared" si="19"/>
        <v>7.2857142857142856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0</v>
      </c>
      <c r="AM270" s="1">
        <v>17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2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3</v>
      </c>
      <c r="CA270" s="1">
        <v>0</v>
      </c>
      <c r="CB270" s="1">
        <v>0</v>
      </c>
      <c r="CC270" s="1">
        <v>0</v>
      </c>
      <c r="CD270" s="1">
        <v>1</v>
      </c>
      <c r="CE270" s="1">
        <v>0</v>
      </c>
      <c r="CF270" s="1">
        <v>0</v>
      </c>
      <c r="CG270" s="1">
        <v>9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3</v>
      </c>
      <c r="DC270" s="1">
        <v>1</v>
      </c>
      <c r="DD270" s="1">
        <v>0</v>
      </c>
      <c r="DE270" s="1">
        <v>0</v>
      </c>
      <c r="DF270" s="1">
        <v>0</v>
      </c>
      <c r="DG270" s="1">
        <v>5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1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4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1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1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</row>
    <row r="271" spans="1:242" x14ac:dyDescent="0.25">
      <c r="A271">
        <v>16585</v>
      </c>
      <c r="B271">
        <v>9</v>
      </c>
      <c r="C271">
        <v>7</v>
      </c>
      <c r="D271" t="s">
        <v>227</v>
      </c>
      <c r="E271" t="s">
        <v>215</v>
      </c>
      <c r="F271">
        <v>5</v>
      </c>
      <c r="G271">
        <v>35.536000000000001</v>
      </c>
      <c r="H271">
        <v>18.344416670000001</v>
      </c>
      <c r="I271">
        <v>24.171663689999999</v>
      </c>
      <c r="J271">
        <v>91.05</v>
      </c>
      <c r="K271">
        <v>28.19166667</v>
      </c>
      <c r="L271">
        <v>65.790426589999996</v>
      </c>
      <c r="M271">
        <v>12.47256939</v>
      </c>
      <c r="N271">
        <v>1.92</v>
      </c>
      <c r="O271">
        <v>1.06</v>
      </c>
      <c r="P271" t="s">
        <v>217</v>
      </c>
      <c r="Q271" t="s">
        <v>217</v>
      </c>
      <c r="R271" t="s">
        <v>216</v>
      </c>
      <c r="S271" t="s">
        <v>217</v>
      </c>
      <c r="T271" t="s">
        <v>217</v>
      </c>
      <c r="U271" t="s">
        <v>216</v>
      </c>
      <c r="V271">
        <f t="shared" si="16"/>
        <v>2</v>
      </c>
      <c r="W271">
        <f t="shared" si="17"/>
        <v>13</v>
      </c>
      <c r="X271">
        <f t="shared" si="18"/>
        <v>0.2857142857142857</v>
      </c>
      <c r="Y271">
        <f t="shared" si="19"/>
        <v>1.8571428571428572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12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1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</row>
    <row r="272" spans="1:242" x14ac:dyDescent="0.25">
      <c r="A272">
        <v>16589</v>
      </c>
      <c r="B272">
        <v>9</v>
      </c>
      <c r="C272">
        <v>7</v>
      </c>
      <c r="D272" t="s">
        <v>228</v>
      </c>
      <c r="E272" t="s">
        <v>215</v>
      </c>
      <c r="F272">
        <v>5</v>
      </c>
      <c r="G272">
        <v>37.17658333</v>
      </c>
      <c r="H272">
        <v>16.254583329999999</v>
      </c>
      <c r="I272">
        <v>24.379149309999999</v>
      </c>
      <c r="J272">
        <v>88.5</v>
      </c>
      <c r="K272">
        <v>12.65</v>
      </c>
      <c r="L272">
        <v>45.015178570000003</v>
      </c>
      <c r="M272">
        <v>11.49191439</v>
      </c>
      <c r="N272">
        <v>2.72</v>
      </c>
      <c r="O272">
        <v>-1.1200000000000001</v>
      </c>
      <c r="P272" t="s">
        <v>217</v>
      </c>
      <c r="Q272" t="s">
        <v>217</v>
      </c>
      <c r="R272" t="s">
        <v>216</v>
      </c>
      <c r="S272" t="s">
        <v>217</v>
      </c>
      <c r="T272" t="s">
        <v>217</v>
      </c>
      <c r="U272" t="s">
        <v>216</v>
      </c>
      <c r="V272">
        <f t="shared" si="16"/>
        <v>3</v>
      </c>
      <c r="W272">
        <f t="shared" si="17"/>
        <v>4</v>
      </c>
      <c r="X272">
        <f t="shared" si="18"/>
        <v>0.42857142857142855</v>
      </c>
      <c r="Y272">
        <f t="shared" si="19"/>
        <v>0.5714285714285714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2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1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1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</row>
    <row r="273" spans="1:242" x14ac:dyDescent="0.25">
      <c r="A273">
        <v>16591</v>
      </c>
      <c r="B273">
        <v>30</v>
      </c>
      <c r="C273">
        <v>7</v>
      </c>
      <c r="D273" t="s">
        <v>227</v>
      </c>
      <c r="E273" t="s">
        <v>215</v>
      </c>
      <c r="F273">
        <v>3</v>
      </c>
      <c r="G273">
        <v>36.507750000000001</v>
      </c>
      <c r="H273">
        <v>16.883749999999999</v>
      </c>
      <c r="I273">
        <v>24.32315526</v>
      </c>
      <c r="J273">
        <v>94.591666669999995</v>
      </c>
      <c r="K273">
        <v>24.916666670000001</v>
      </c>
      <c r="L273">
        <v>61.68353175</v>
      </c>
      <c r="M273">
        <v>12.472893259999999</v>
      </c>
      <c r="N273">
        <v>1.69</v>
      </c>
      <c r="O273">
        <v>0.73599999999999999</v>
      </c>
      <c r="P273" t="s">
        <v>217</v>
      </c>
      <c r="Q273" t="s">
        <v>217</v>
      </c>
      <c r="R273" t="s">
        <v>217</v>
      </c>
      <c r="S273" t="s">
        <v>216</v>
      </c>
      <c r="T273" t="s">
        <v>217</v>
      </c>
      <c r="U273" t="s">
        <v>217</v>
      </c>
      <c r="V273">
        <f t="shared" si="16"/>
        <v>28</v>
      </c>
      <c r="W273">
        <f t="shared" si="17"/>
        <v>156</v>
      </c>
      <c r="X273">
        <f t="shared" si="18"/>
        <v>4</v>
      </c>
      <c r="Y273">
        <f t="shared" si="19"/>
        <v>22.285714285714285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1</v>
      </c>
      <c r="AI273" s="1">
        <v>0</v>
      </c>
      <c r="AJ273" s="1">
        <v>0</v>
      </c>
      <c r="AK273" s="1">
        <v>1</v>
      </c>
      <c r="AL273" s="1">
        <v>0</v>
      </c>
      <c r="AM273" s="1">
        <v>24</v>
      </c>
      <c r="AN273" s="1">
        <v>1</v>
      </c>
      <c r="AO273" s="1">
        <v>0</v>
      </c>
      <c r="AP273" s="1">
        <v>0</v>
      </c>
      <c r="AQ273" s="1">
        <v>0</v>
      </c>
      <c r="AR273" s="1">
        <v>1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2</v>
      </c>
      <c r="AY273" s="1">
        <v>0</v>
      </c>
      <c r="AZ273" s="1">
        <v>0</v>
      </c>
      <c r="BA273" s="1">
        <v>2</v>
      </c>
      <c r="BB273" s="1">
        <v>0</v>
      </c>
      <c r="BC273" s="1">
        <v>0</v>
      </c>
      <c r="BD273" s="1">
        <v>0</v>
      </c>
      <c r="BE273" s="1">
        <v>1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1</v>
      </c>
      <c r="BM273" s="1">
        <v>3</v>
      </c>
      <c r="BN273" s="1">
        <v>0</v>
      </c>
      <c r="BO273" s="1">
        <v>8</v>
      </c>
      <c r="BP273" s="1">
        <v>0</v>
      </c>
      <c r="BQ273" s="1">
        <v>0</v>
      </c>
      <c r="BR273" s="1">
        <v>0</v>
      </c>
      <c r="BS273" s="1">
        <v>13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1</v>
      </c>
      <c r="BZ273" s="1">
        <v>5</v>
      </c>
      <c r="CA273" s="1">
        <v>2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5</v>
      </c>
      <c r="CI273" s="1">
        <v>0</v>
      </c>
      <c r="CJ273" s="1">
        <v>0</v>
      </c>
      <c r="CK273" s="1">
        <v>0</v>
      </c>
      <c r="CL273" s="1">
        <v>0</v>
      </c>
      <c r="CM273" s="1">
        <v>1</v>
      </c>
      <c r="CN273" s="1">
        <v>0</v>
      </c>
      <c r="CO273" s="1">
        <v>0</v>
      </c>
      <c r="CP273" s="1">
        <v>0</v>
      </c>
      <c r="CQ273" s="1">
        <v>0</v>
      </c>
      <c r="CR273" s="1">
        <v>36</v>
      </c>
      <c r="CS273" s="1">
        <v>0</v>
      </c>
      <c r="CT273" s="1">
        <v>9</v>
      </c>
      <c r="CU273" s="1">
        <v>0</v>
      </c>
      <c r="CV273" s="1">
        <v>4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1</v>
      </c>
      <c r="DC273" s="1">
        <v>0</v>
      </c>
      <c r="DD273" s="1">
        <v>0</v>
      </c>
      <c r="DE273" s="1">
        <v>0</v>
      </c>
      <c r="DF273" s="1">
        <v>0</v>
      </c>
      <c r="DG273" s="1">
        <v>3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16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1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2</v>
      </c>
      <c r="GI273" s="1">
        <v>0</v>
      </c>
      <c r="GJ273" s="1">
        <v>9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2</v>
      </c>
      <c r="IG273">
        <v>0</v>
      </c>
      <c r="IH273">
        <v>0</v>
      </c>
    </row>
    <row r="274" spans="1:242" x14ac:dyDescent="0.25">
      <c r="A274">
        <v>16595</v>
      </c>
      <c r="B274">
        <v>30</v>
      </c>
      <c r="C274">
        <v>7</v>
      </c>
      <c r="D274" t="s">
        <v>228</v>
      </c>
      <c r="E274" t="s">
        <v>215</v>
      </c>
      <c r="F274">
        <v>3</v>
      </c>
      <c r="G274">
        <v>37.97133333</v>
      </c>
      <c r="H274">
        <v>16.04783333</v>
      </c>
      <c r="I274">
        <v>26.046203869999999</v>
      </c>
      <c r="J274">
        <v>88.35</v>
      </c>
      <c r="K274">
        <v>8.5666666669999998</v>
      </c>
      <c r="L274">
        <v>33.251636900000001</v>
      </c>
      <c r="M274">
        <v>11.49140264</v>
      </c>
      <c r="N274">
        <v>3.37</v>
      </c>
      <c r="O274">
        <v>-1.74</v>
      </c>
      <c r="P274" t="s">
        <v>217</v>
      </c>
      <c r="Q274" t="s">
        <v>217</v>
      </c>
      <c r="R274" t="s">
        <v>217</v>
      </c>
      <c r="S274" t="s">
        <v>216</v>
      </c>
      <c r="T274" t="s">
        <v>217</v>
      </c>
      <c r="U274" t="s">
        <v>217</v>
      </c>
      <c r="V274">
        <f t="shared" si="16"/>
        <v>31</v>
      </c>
      <c r="W274">
        <f t="shared" si="17"/>
        <v>166</v>
      </c>
      <c r="X274">
        <f t="shared" si="18"/>
        <v>4.4285714285714288</v>
      </c>
      <c r="Y274">
        <f t="shared" si="19"/>
        <v>23.714285714285715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4</v>
      </c>
      <c r="AL274" s="1">
        <v>0</v>
      </c>
      <c r="AM274" s="1">
        <v>55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2</v>
      </c>
      <c r="AY274" s="1">
        <v>0</v>
      </c>
      <c r="AZ274" s="1">
        <v>0</v>
      </c>
      <c r="BA274" s="1">
        <v>1</v>
      </c>
      <c r="BB274" s="1">
        <v>1</v>
      </c>
      <c r="BC274" s="1">
        <v>0</v>
      </c>
      <c r="BD274" s="1">
        <v>0</v>
      </c>
      <c r="BE274" s="1">
        <v>4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2</v>
      </c>
      <c r="BN274" s="1">
        <v>0</v>
      </c>
      <c r="BO274" s="1">
        <v>9</v>
      </c>
      <c r="BP274" s="1">
        <v>0</v>
      </c>
      <c r="BQ274" s="1">
        <v>0</v>
      </c>
      <c r="BR274" s="1">
        <v>0</v>
      </c>
      <c r="BS274" s="1">
        <v>4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2</v>
      </c>
      <c r="CA274" s="1">
        <v>3</v>
      </c>
      <c r="CB274" s="1">
        <v>0</v>
      </c>
      <c r="CC274" s="1">
        <v>0</v>
      </c>
      <c r="CD274" s="1">
        <v>1</v>
      </c>
      <c r="CE274" s="1">
        <v>0</v>
      </c>
      <c r="CF274" s="1">
        <v>0</v>
      </c>
      <c r="CG274" s="1">
        <v>2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1</v>
      </c>
      <c r="CO274" s="1">
        <v>0</v>
      </c>
      <c r="CP274" s="1">
        <v>0</v>
      </c>
      <c r="CQ274" s="1">
        <v>0</v>
      </c>
      <c r="CR274" s="1">
        <v>31</v>
      </c>
      <c r="CS274" s="1">
        <v>0</v>
      </c>
      <c r="CT274" s="1">
        <v>6</v>
      </c>
      <c r="CU274" s="1">
        <v>0</v>
      </c>
      <c r="CV274" s="1">
        <v>6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1</v>
      </c>
      <c r="DD274" s="1">
        <v>0</v>
      </c>
      <c r="DE274" s="1">
        <v>0</v>
      </c>
      <c r="DF274" s="1">
        <v>0</v>
      </c>
      <c r="DG274" s="1">
        <v>4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2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2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2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1</v>
      </c>
      <c r="EY274" s="1">
        <v>0</v>
      </c>
      <c r="EZ274" s="1">
        <v>5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1</v>
      </c>
      <c r="FK274" s="1">
        <v>0</v>
      </c>
      <c r="FL274" s="1">
        <v>0</v>
      </c>
      <c r="FM274" s="1">
        <v>1</v>
      </c>
      <c r="FN274" s="1">
        <v>0</v>
      </c>
      <c r="FO274" s="1">
        <v>0</v>
      </c>
      <c r="FP274" s="1">
        <v>0</v>
      </c>
      <c r="FQ274" s="1">
        <v>0</v>
      </c>
      <c r="FR274" s="1">
        <v>1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1</v>
      </c>
      <c r="GI274" s="1">
        <v>0</v>
      </c>
      <c r="GJ274" s="1">
        <v>2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5</v>
      </c>
      <c r="IG274">
        <v>0</v>
      </c>
      <c r="IH274">
        <v>4</v>
      </c>
    </row>
    <row r="275" spans="1:242" x14ac:dyDescent="0.25">
      <c r="A275">
        <v>16597</v>
      </c>
      <c r="B275">
        <v>28</v>
      </c>
      <c r="C275">
        <v>7</v>
      </c>
      <c r="D275" t="s">
        <v>227</v>
      </c>
      <c r="E275" t="s">
        <v>215</v>
      </c>
      <c r="F275">
        <v>6</v>
      </c>
      <c r="G275">
        <v>39.426083329999997</v>
      </c>
      <c r="H275">
        <v>16.024249999999999</v>
      </c>
      <c r="I275">
        <v>24.677041169999999</v>
      </c>
      <c r="J275">
        <v>94.424999999999997</v>
      </c>
      <c r="K275">
        <v>24.366666670000001</v>
      </c>
      <c r="L275">
        <v>62.732341269999999</v>
      </c>
      <c r="M275">
        <v>12.472942489999999</v>
      </c>
      <c r="N275">
        <v>1.94</v>
      </c>
      <c r="O275">
        <v>0.63100000000000001</v>
      </c>
      <c r="P275" t="s">
        <v>216</v>
      </c>
      <c r="Q275" t="s">
        <v>217</v>
      </c>
      <c r="R275" t="s">
        <v>217</v>
      </c>
      <c r="S275" t="s">
        <v>217</v>
      </c>
      <c r="T275" t="s">
        <v>217</v>
      </c>
      <c r="U275" t="s">
        <v>216</v>
      </c>
      <c r="V275">
        <f t="shared" si="16"/>
        <v>32</v>
      </c>
      <c r="W275">
        <f t="shared" si="17"/>
        <v>282</v>
      </c>
      <c r="X275">
        <f t="shared" si="18"/>
        <v>4.5714285714285712</v>
      </c>
      <c r="Y275">
        <f t="shared" si="19"/>
        <v>40.285714285714285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1</v>
      </c>
      <c r="AL275" s="1">
        <v>0</v>
      </c>
      <c r="AM275" s="1">
        <v>30</v>
      </c>
      <c r="AN275" s="1">
        <v>1</v>
      </c>
      <c r="AO275" s="1">
        <v>0</v>
      </c>
      <c r="AP275" s="1">
        <v>0</v>
      </c>
      <c r="AQ275" s="1">
        <v>0</v>
      </c>
      <c r="AR275" s="1">
        <v>0</v>
      </c>
      <c r="AS275" s="1">
        <v>1</v>
      </c>
      <c r="AT275" s="1">
        <v>6</v>
      </c>
      <c r="AU275" s="1">
        <v>0</v>
      </c>
      <c r="AV275" s="1">
        <v>0</v>
      </c>
      <c r="AW275" s="1">
        <v>0</v>
      </c>
      <c r="AX275" s="1">
        <v>22</v>
      </c>
      <c r="AY275" s="1">
        <v>0</v>
      </c>
      <c r="AZ275" s="1">
        <v>0</v>
      </c>
      <c r="BA275" s="1">
        <v>0</v>
      </c>
      <c r="BB275" s="1">
        <v>3</v>
      </c>
      <c r="BC275" s="1">
        <v>0</v>
      </c>
      <c r="BD275" s="1">
        <v>0</v>
      </c>
      <c r="BE275" s="1">
        <v>1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3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7</v>
      </c>
      <c r="BX275" s="1">
        <v>0</v>
      </c>
      <c r="BY275" s="1">
        <v>0</v>
      </c>
      <c r="BZ275" s="1">
        <v>1</v>
      </c>
      <c r="CA275" s="1">
        <v>2</v>
      </c>
      <c r="CB275" s="1">
        <v>0</v>
      </c>
      <c r="CC275" s="1">
        <v>0</v>
      </c>
      <c r="CD275" s="1">
        <v>1</v>
      </c>
      <c r="CE275" s="1">
        <v>0</v>
      </c>
      <c r="CF275" s="1">
        <v>0</v>
      </c>
      <c r="CG275" s="1">
        <v>36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2</v>
      </c>
      <c r="CS275" s="1">
        <v>0</v>
      </c>
      <c r="CT275" s="1">
        <v>11</v>
      </c>
      <c r="CU275" s="1">
        <v>0</v>
      </c>
      <c r="CV275" s="1">
        <v>1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34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5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3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5</v>
      </c>
      <c r="EI275" s="1">
        <v>0</v>
      </c>
      <c r="EJ275" s="1">
        <v>0</v>
      </c>
      <c r="EK275" s="1">
        <v>67</v>
      </c>
      <c r="EL275" s="1">
        <v>1</v>
      </c>
      <c r="EM275" s="1">
        <v>0</v>
      </c>
      <c r="EN275" s="1">
        <v>1</v>
      </c>
      <c r="EO275" s="1">
        <v>0</v>
      </c>
      <c r="EP275" s="1">
        <v>0</v>
      </c>
      <c r="EQ275" s="1">
        <v>0</v>
      </c>
      <c r="ER275" s="1">
        <v>6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1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1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3</v>
      </c>
      <c r="GI275" s="1">
        <v>0</v>
      </c>
      <c r="GJ275" s="1">
        <v>2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3</v>
      </c>
      <c r="IG275">
        <v>0</v>
      </c>
      <c r="IH275">
        <v>20</v>
      </c>
    </row>
    <row r="276" spans="1:242" x14ac:dyDescent="0.25">
      <c r="A276">
        <v>16601</v>
      </c>
      <c r="B276">
        <v>28</v>
      </c>
      <c r="C276">
        <v>7</v>
      </c>
      <c r="D276" t="s">
        <v>228</v>
      </c>
      <c r="E276" t="s">
        <v>215</v>
      </c>
      <c r="F276">
        <v>6</v>
      </c>
      <c r="G276">
        <v>41.252166670000001</v>
      </c>
      <c r="H276">
        <v>12.67633333</v>
      </c>
      <c r="I276">
        <v>24.103479660000001</v>
      </c>
      <c r="J276">
        <v>93.133333329999999</v>
      </c>
      <c r="K276">
        <v>9.0083333329999995</v>
      </c>
      <c r="L276">
        <v>43.956547620000002</v>
      </c>
      <c r="M276">
        <v>11.49132485</v>
      </c>
      <c r="N276">
        <v>2.37</v>
      </c>
      <c r="O276">
        <v>-1.57</v>
      </c>
      <c r="P276" t="s">
        <v>216</v>
      </c>
      <c r="Q276" t="s">
        <v>217</v>
      </c>
      <c r="R276" t="s">
        <v>217</v>
      </c>
      <c r="S276" t="s">
        <v>217</v>
      </c>
      <c r="T276" t="s">
        <v>217</v>
      </c>
      <c r="U276" t="s">
        <v>216</v>
      </c>
      <c r="V276">
        <f t="shared" si="16"/>
        <v>34</v>
      </c>
      <c r="W276">
        <f t="shared" si="17"/>
        <v>262</v>
      </c>
      <c r="X276">
        <f t="shared" si="18"/>
        <v>4.8571428571428568</v>
      </c>
      <c r="Y276">
        <f t="shared" si="19"/>
        <v>37.428571428571431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3</v>
      </c>
      <c r="AI276" s="1">
        <v>0</v>
      </c>
      <c r="AJ276" s="1">
        <v>0</v>
      </c>
      <c r="AK276" s="1">
        <v>1</v>
      </c>
      <c r="AL276" s="1">
        <v>0</v>
      </c>
      <c r="AM276" s="1">
        <v>41</v>
      </c>
      <c r="AN276" s="1">
        <v>1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3</v>
      </c>
      <c r="AU276" s="1">
        <v>0</v>
      </c>
      <c r="AV276" s="1">
        <v>0</v>
      </c>
      <c r="AW276" s="1">
        <v>0</v>
      </c>
      <c r="AX276" s="1">
        <v>8</v>
      </c>
      <c r="AY276" s="1">
        <v>0</v>
      </c>
      <c r="AZ276" s="1">
        <v>0</v>
      </c>
      <c r="BA276" s="1">
        <v>0</v>
      </c>
      <c r="BB276" s="1">
        <v>2</v>
      </c>
      <c r="BC276" s="1">
        <v>0</v>
      </c>
      <c r="BD276" s="1">
        <v>0</v>
      </c>
      <c r="BE276" s="1">
        <v>1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7</v>
      </c>
      <c r="BM276" s="1">
        <v>2</v>
      </c>
      <c r="BN276" s="1">
        <v>0</v>
      </c>
      <c r="BO276" s="1">
        <v>0</v>
      </c>
      <c r="BP276" s="1">
        <v>1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1</v>
      </c>
      <c r="CA276" s="1">
        <v>1</v>
      </c>
      <c r="CB276" s="1">
        <v>0</v>
      </c>
      <c r="CC276" s="1">
        <v>0</v>
      </c>
      <c r="CD276" s="1">
        <v>1</v>
      </c>
      <c r="CE276" s="1">
        <v>0</v>
      </c>
      <c r="CF276" s="1">
        <v>0</v>
      </c>
      <c r="CG276" s="1">
        <v>45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3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8</v>
      </c>
      <c r="CU276" s="1">
        <v>0</v>
      </c>
      <c r="CV276" s="1">
        <v>13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29</v>
      </c>
      <c r="DC276" s="1">
        <v>1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2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2</v>
      </c>
      <c r="EA276" s="1">
        <v>0</v>
      </c>
      <c r="EB276" s="1">
        <v>1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2</v>
      </c>
      <c r="EK276" s="1">
        <v>39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7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6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5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1</v>
      </c>
      <c r="FU276" s="1">
        <v>0</v>
      </c>
      <c r="FV276" s="1">
        <v>0</v>
      </c>
      <c r="FW276" s="1">
        <v>1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1</v>
      </c>
      <c r="GI276" s="1">
        <v>0</v>
      </c>
      <c r="GJ276" s="1">
        <v>2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1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20</v>
      </c>
    </row>
    <row r="277" spans="1:242" x14ac:dyDescent="0.25">
      <c r="A277">
        <v>16603</v>
      </c>
      <c r="B277">
        <v>3</v>
      </c>
      <c r="C277">
        <v>7</v>
      </c>
      <c r="D277" t="s">
        <v>227</v>
      </c>
      <c r="E277" t="s">
        <v>215</v>
      </c>
      <c r="F277">
        <v>9</v>
      </c>
      <c r="G277">
        <v>39.203833330000002</v>
      </c>
      <c r="H277">
        <v>17.40133333</v>
      </c>
      <c r="I277">
        <v>26.5503626</v>
      </c>
      <c r="J277">
        <v>90.491666670000001</v>
      </c>
      <c r="K277">
        <v>28.05</v>
      </c>
      <c r="L277">
        <v>59.814732139999997</v>
      </c>
      <c r="M277">
        <v>12.227107800000001</v>
      </c>
      <c r="N277">
        <v>2.67</v>
      </c>
      <c r="O277">
        <v>0.71899999999999997</v>
      </c>
      <c r="P277" t="s">
        <v>216</v>
      </c>
      <c r="Q277" t="s">
        <v>217</v>
      </c>
      <c r="R277" t="s">
        <v>217</v>
      </c>
      <c r="S277" t="s">
        <v>217</v>
      </c>
      <c r="T277" t="s">
        <v>217</v>
      </c>
      <c r="U277" t="s">
        <v>216</v>
      </c>
      <c r="V277">
        <f t="shared" si="16"/>
        <v>29</v>
      </c>
      <c r="W277">
        <f t="shared" si="17"/>
        <v>157</v>
      </c>
      <c r="X277">
        <f t="shared" si="18"/>
        <v>4.1428571428571432</v>
      </c>
      <c r="Y277">
        <f t="shared" si="19"/>
        <v>22.428571428571427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17</v>
      </c>
      <c r="AL277" s="1">
        <v>0</v>
      </c>
      <c r="AM277" s="1">
        <v>21</v>
      </c>
      <c r="AN277" s="1">
        <v>0</v>
      </c>
      <c r="AO277" s="1">
        <v>0</v>
      </c>
      <c r="AP277" s="1">
        <v>1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1</v>
      </c>
      <c r="AX277" s="1">
        <v>1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1</v>
      </c>
      <c r="BF277" s="1">
        <v>0</v>
      </c>
      <c r="BG277" s="1">
        <v>1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9</v>
      </c>
      <c r="BN277" s="1">
        <v>0</v>
      </c>
      <c r="BO277" s="1">
        <v>1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1</v>
      </c>
      <c r="BX277" s="1">
        <v>0</v>
      </c>
      <c r="BY277" s="1">
        <v>0</v>
      </c>
      <c r="BZ277" s="1">
        <v>8</v>
      </c>
      <c r="CA277" s="1">
        <v>6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2</v>
      </c>
      <c r="CN277" s="1">
        <v>0</v>
      </c>
      <c r="CO277" s="1">
        <v>2</v>
      </c>
      <c r="CP277" s="1">
        <v>0</v>
      </c>
      <c r="CQ277" s="1">
        <v>0</v>
      </c>
      <c r="CR277" s="1">
        <v>1</v>
      </c>
      <c r="CS277" s="1">
        <v>0</v>
      </c>
      <c r="CT277" s="1">
        <v>5</v>
      </c>
      <c r="CU277" s="1">
        <v>0</v>
      </c>
      <c r="CV277" s="1">
        <v>4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22</v>
      </c>
      <c r="DC277" s="1">
        <v>1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4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37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1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3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1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1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>
        <v>2</v>
      </c>
      <c r="GT277">
        <v>0</v>
      </c>
      <c r="GU277">
        <v>0</v>
      </c>
      <c r="GV277">
        <v>0</v>
      </c>
      <c r="GW277">
        <v>0</v>
      </c>
      <c r="GX277">
        <v>1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1</v>
      </c>
    </row>
    <row r="278" spans="1:242" x14ac:dyDescent="0.25">
      <c r="A278">
        <v>16607</v>
      </c>
      <c r="B278">
        <v>3</v>
      </c>
      <c r="C278">
        <v>7</v>
      </c>
      <c r="D278" t="s">
        <v>228</v>
      </c>
      <c r="E278" t="s">
        <v>215</v>
      </c>
      <c r="F278">
        <v>9</v>
      </c>
      <c r="G278">
        <v>32.446583330000003</v>
      </c>
      <c r="H278">
        <v>17.147333329999999</v>
      </c>
      <c r="I278">
        <v>21.498986609999999</v>
      </c>
      <c r="J278">
        <v>95.508333329999999</v>
      </c>
      <c r="K278">
        <v>32.758333329999999</v>
      </c>
      <c r="L278">
        <v>78.318105160000002</v>
      </c>
      <c r="M278">
        <v>11.254753170000001</v>
      </c>
      <c r="N278" s="8">
        <v>6.7000000000000004E-2</v>
      </c>
      <c r="O278">
        <v>1.54</v>
      </c>
      <c r="P278" t="s">
        <v>216</v>
      </c>
      <c r="Q278" t="s">
        <v>217</v>
      </c>
      <c r="R278" t="s">
        <v>217</v>
      </c>
      <c r="S278" t="s">
        <v>217</v>
      </c>
      <c r="T278" t="s">
        <v>217</v>
      </c>
      <c r="U278" t="s">
        <v>216</v>
      </c>
      <c r="V278">
        <f t="shared" si="16"/>
        <v>24</v>
      </c>
      <c r="W278">
        <f t="shared" si="17"/>
        <v>181</v>
      </c>
      <c r="X278">
        <f t="shared" si="18"/>
        <v>3.4285714285714284</v>
      </c>
      <c r="Y278">
        <f t="shared" si="19"/>
        <v>25.857142857142858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10</v>
      </c>
      <c r="AL278" s="1">
        <v>0</v>
      </c>
      <c r="AM278" s="1">
        <v>37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0</v>
      </c>
      <c r="AZ278" s="1">
        <v>0</v>
      </c>
      <c r="BA278" s="1">
        <v>1</v>
      </c>
      <c r="BB278" s="1">
        <v>0</v>
      </c>
      <c r="BC278" s="1">
        <v>0</v>
      </c>
      <c r="BD278" s="1">
        <v>0</v>
      </c>
      <c r="BE278" s="1">
        <v>3</v>
      </c>
      <c r="BF278" s="1">
        <v>1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1</v>
      </c>
      <c r="BM278" s="1">
        <v>10</v>
      </c>
      <c r="BN278" s="1">
        <v>0</v>
      </c>
      <c r="BO278" s="1">
        <v>0</v>
      </c>
      <c r="BP278" s="1">
        <v>2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3</v>
      </c>
      <c r="CA278" s="1">
        <v>8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1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3</v>
      </c>
      <c r="CP278" s="1">
        <v>0</v>
      </c>
      <c r="CQ278" s="1">
        <v>0</v>
      </c>
      <c r="CR278" s="1">
        <v>1</v>
      </c>
      <c r="CS278" s="1">
        <v>0</v>
      </c>
      <c r="CT278" s="1">
        <v>2</v>
      </c>
      <c r="CU278" s="1">
        <v>0</v>
      </c>
      <c r="CV278" s="1">
        <v>10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19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10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2</v>
      </c>
      <c r="EI278" s="1">
        <v>0</v>
      </c>
      <c r="EJ278" s="1">
        <v>0</v>
      </c>
      <c r="EK278" s="1">
        <v>26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7</v>
      </c>
      <c r="ES278" s="1">
        <v>0</v>
      </c>
      <c r="ET278" s="1">
        <v>0</v>
      </c>
      <c r="EU278" s="1">
        <v>1</v>
      </c>
      <c r="EV278" s="1">
        <v>0</v>
      </c>
      <c r="EW278" s="1">
        <v>0</v>
      </c>
      <c r="EX278" s="1">
        <v>0</v>
      </c>
      <c r="EY278" s="1">
        <v>0</v>
      </c>
      <c r="EZ278" s="1">
        <v>3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19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</row>
    <row r="279" spans="1:242" x14ac:dyDescent="0.25">
      <c r="A279">
        <v>16609</v>
      </c>
      <c r="B279">
        <v>15</v>
      </c>
      <c r="C279">
        <v>7</v>
      </c>
      <c r="D279" t="s">
        <v>227</v>
      </c>
      <c r="E279" t="s">
        <v>215</v>
      </c>
      <c r="F279">
        <v>9</v>
      </c>
      <c r="G279">
        <v>32.842583329999997</v>
      </c>
      <c r="H279">
        <v>17.038499999999999</v>
      </c>
      <c r="I279">
        <v>23.544231150000002</v>
      </c>
      <c r="J279">
        <v>93.6</v>
      </c>
      <c r="K279">
        <v>40.233333330000001</v>
      </c>
      <c r="L279">
        <v>73.549801590000001</v>
      </c>
      <c r="M279">
        <v>12.46933518</v>
      </c>
      <c r="N279">
        <v>0.81</v>
      </c>
      <c r="O279">
        <v>1.96</v>
      </c>
      <c r="P279" t="s">
        <v>216</v>
      </c>
      <c r="Q279" t="s">
        <v>217</v>
      </c>
      <c r="R279" t="s">
        <v>217</v>
      </c>
      <c r="S279" t="s">
        <v>217</v>
      </c>
      <c r="T279" t="s">
        <v>217</v>
      </c>
      <c r="U279" t="s">
        <v>216</v>
      </c>
      <c r="V279">
        <f t="shared" si="16"/>
        <v>6</v>
      </c>
      <c r="W279">
        <f t="shared" si="17"/>
        <v>18</v>
      </c>
      <c r="X279">
        <f t="shared" si="18"/>
        <v>0.8571428571428571</v>
      </c>
      <c r="Y279">
        <f t="shared" si="19"/>
        <v>2.5714285714285716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6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1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3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1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5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2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</row>
    <row r="280" spans="1:242" x14ac:dyDescent="0.25">
      <c r="A280">
        <v>16613</v>
      </c>
      <c r="B280">
        <v>15</v>
      </c>
      <c r="C280">
        <v>7</v>
      </c>
      <c r="D280" t="s">
        <v>228</v>
      </c>
      <c r="E280" t="s">
        <v>215</v>
      </c>
      <c r="F280">
        <v>9</v>
      </c>
      <c r="G280">
        <v>38.621166670000001</v>
      </c>
      <c r="H280">
        <v>14.323499999999999</v>
      </c>
      <c r="I280">
        <v>23.92613145</v>
      </c>
      <c r="J280">
        <v>96.108333329999994</v>
      </c>
      <c r="K280">
        <v>13.18333333</v>
      </c>
      <c r="L280">
        <v>62.461458329999999</v>
      </c>
      <c r="M280">
        <v>11.497027770000001</v>
      </c>
      <c r="N280">
        <v>1.4</v>
      </c>
      <c r="O280">
        <v>-0.24099999999999999</v>
      </c>
      <c r="P280" t="s">
        <v>216</v>
      </c>
      <c r="Q280" t="s">
        <v>217</v>
      </c>
      <c r="R280" t="s">
        <v>217</v>
      </c>
      <c r="S280" t="s">
        <v>217</v>
      </c>
      <c r="T280" t="s">
        <v>217</v>
      </c>
      <c r="U280" t="s">
        <v>216</v>
      </c>
      <c r="V280">
        <f t="shared" si="16"/>
        <v>21</v>
      </c>
      <c r="W280">
        <f t="shared" si="17"/>
        <v>131</v>
      </c>
      <c r="X280">
        <f t="shared" si="18"/>
        <v>3</v>
      </c>
      <c r="Y280">
        <f t="shared" si="19"/>
        <v>18.714285714285715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24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1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1</v>
      </c>
      <c r="BZ280" s="1">
        <v>3</v>
      </c>
      <c r="CA280" s="1">
        <v>1</v>
      </c>
      <c r="CB280" s="1">
        <v>0</v>
      </c>
      <c r="CC280" s="1">
        <v>0</v>
      </c>
      <c r="CD280" s="1">
        <v>4</v>
      </c>
      <c r="CE280" s="1">
        <v>0</v>
      </c>
      <c r="CF280" s="1">
        <v>0</v>
      </c>
      <c r="CG280" s="1">
        <v>11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19</v>
      </c>
      <c r="CO280" s="1">
        <v>0</v>
      </c>
      <c r="CP280" s="1">
        <v>0</v>
      </c>
      <c r="CQ280" s="1">
        <v>0</v>
      </c>
      <c r="CR280" s="1">
        <v>1</v>
      </c>
      <c r="CS280" s="1">
        <v>0</v>
      </c>
      <c r="CT280" s="1">
        <v>5</v>
      </c>
      <c r="CU280" s="1">
        <v>0</v>
      </c>
      <c r="CV280" s="1">
        <v>4</v>
      </c>
      <c r="CW280" s="1">
        <v>1</v>
      </c>
      <c r="CX280" s="1">
        <v>0</v>
      </c>
      <c r="CY280" s="1">
        <v>0</v>
      </c>
      <c r="CZ280" s="1">
        <v>0</v>
      </c>
      <c r="DA280" s="1">
        <v>0</v>
      </c>
      <c r="DB280" s="1">
        <v>4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4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2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3</v>
      </c>
      <c r="EK280" s="1">
        <v>28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12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1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1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1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</row>
    <row r="281" spans="1:242" x14ac:dyDescent="0.25">
      <c r="A281">
        <v>16621</v>
      </c>
      <c r="B281">
        <v>10</v>
      </c>
      <c r="C281">
        <v>7</v>
      </c>
      <c r="D281" t="s">
        <v>228</v>
      </c>
      <c r="E281" t="s">
        <v>215</v>
      </c>
      <c r="F281">
        <v>8</v>
      </c>
      <c r="G281">
        <v>41.0045</v>
      </c>
      <c r="H281">
        <v>14.132</v>
      </c>
      <c r="I281">
        <v>24.951708830000001</v>
      </c>
      <c r="J281">
        <v>95.25</v>
      </c>
      <c r="K281">
        <v>8.7833333329999999</v>
      </c>
      <c r="L281">
        <v>55.787053569999998</v>
      </c>
      <c r="M281">
        <v>11.49391958</v>
      </c>
      <c r="N281">
        <v>2.08</v>
      </c>
      <c r="O281">
        <v>-0.77100000000000002</v>
      </c>
      <c r="P281" t="s">
        <v>216</v>
      </c>
      <c r="Q281" t="s">
        <v>217</v>
      </c>
      <c r="R281" t="s">
        <v>217</v>
      </c>
      <c r="S281" t="s">
        <v>217</v>
      </c>
      <c r="T281" t="s">
        <v>217</v>
      </c>
      <c r="U281" t="s">
        <v>217</v>
      </c>
      <c r="V281">
        <f t="shared" si="16"/>
        <v>0</v>
      </c>
      <c r="W281">
        <f t="shared" si="17"/>
        <v>0</v>
      </c>
      <c r="X281">
        <f t="shared" si="18"/>
        <v>0</v>
      </c>
      <c r="Y281">
        <f t="shared" si="19"/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</row>
    <row r="282" spans="1:242" x14ac:dyDescent="0.25">
      <c r="A282">
        <v>16627</v>
      </c>
      <c r="B282">
        <v>5</v>
      </c>
      <c r="C282">
        <v>7</v>
      </c>
      <c r="D282" t="s">
        <v>228</v>
      </c>
      <c r="E282" t="s">
        <v>215</v>
      </c>
      <c r="F282">
        <v>3</v>
      </c>
      <c r="G282">
        <v>39.045583329999999</v>
      </c>
      <c r="H282">
        <v>16.572083330000002</v>
      </c>
      <c r="I282">
        <v>25.228600199999999</v>
      </c>
      <c r="J282">
        <v>95.208333330000002</v>
      </c>
      <c r="K282">
        <v>10.324999999999999</v>
      </c>
      <c r="L282">
        <v>44.277430559999999</v>
      </c>
      <c r="M282">
        <v>11.4921351</v>
      </c>
      <c r="N282">
        <v>2.42</v>
      </c>
      <c r="O282">
        <v>-0.88400000000000001</v>
      </c>
      <c r="P282" t="s">
        <v>216</v>
      </c>
      <c r="Q282" t="s">
        <v>216</v>
      </c>
      <c r="R282" t="s">
        <v>216</v>
      </c>
      <c r="S282" t="s">
        <v>217</v>
      </c>
      <c r="T282" t="s">
        <v>217</v>
      </c>
      <c r="U282" t="s">
        <v>216</v>
      </c>
      <c r="V282">
        <f t="shared" si="16"/>
        <v>12</v>
      </c>
      <c r="W282">
        <f t="shared" si="17"/>
        <v>39</v>
      </c>
      <c r="X282">
        <f t="shared" si="18"/>
        <v>1.7142857142857142</v>
      </c>
      <c r="Y282">
        <f t="shared" si="19"/>
        <v>5.5714285714285712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2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3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4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2</v>
      </c>
      <c r="BM282" s="1">
        <v>8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1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6</v>
      </c>
      <c r="CU282" s="1">
        <v>0</v>
      </c>
      <c r="CV282" s="1">
        <v>6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1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1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3</v>
      </c>
      <c r="FA282" s="1">
        <v>2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</row>
    <row r="283" spans="1:242" x14ac:dyDescent="0.25">
      <c r="A283">
        <v>16632</v>
      </c>
      <c r="B283">
        <v>4</v>
      </c>
      <c r="C283">
        <v>7</v>
      </c>
      <c r="D283" t="s">
        <v>228</v>
      </c>
      <c r="E283" t="s">
        <v>215</v>
      </c>
      <c r="F283">
        <v>4</v>
      </c>
      <c r="G283">
        <v>34.739333330000001</v>
      </c>
      <c r="H283">
        <v>15.83741667</v>
      </c>
      <c r="I283">
        <v>24.36036657</v>
      </c>
      <c r="J283">
        <v>95.841666669999995</v>
      </c>
      <c r="K283">
        <v>11.44166667</v>
      </c>
      <c r="L283">
        <v>41.644940480000002</v>
      </c>
      <c r="M283">
        <v>11.491576090000001</v>
      </c>
      <c r="N283">
        <v>1.79</v>
      </c>
      <c r="O283">
        <v>-0.96899999999999997</v>
      </c>
      <c r="P283" t="s">
        <v>216</v>
      </c>
      <c r="Q283" t="s">
        <v>217</v>
      </c>
      <c r="R283" t="s">
        <v>216</v>
      </c>
      <c r="S283" t="s">
        <v>217</v>
      </c>
      <c r="T283" t="s">
        <v>217</v>
      </c>
      <c r="U283" t="s">
        <v>216</v>
      </c>
      <c r="V283">
        <f t="shared" si="16"/>
        <v>24</v>
      </c>
      <c r="W283">
        <f t="shared" si="17"/>
        <v>113</v>
      </c>
      <c r="X283">
        <f t="shared" si="18"/>
        <v>3.4285714285714284</v>
      </c>
      <c r="Y283">
        <f t="shared" si="19"/>
        <v>16.142857142857142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15</v>
      </c>
      <c r="AN283" s="1">
        <v>2</v>
      </c>
      <c r="AO283" s="1">
        <v>0</v>
      </c>
      <c r="AP283" s="1">
        <v>0</v>
      </c>
      <c r="AQ283" s="1">
        <v>0</v>
      </c>
      <c r="AR283" s="1">
        <v>1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10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1</v>
      </c>
      <c r="BN283" s="1">
        <v>0</v>
      </c>
      <c r="BO283" s="1">
        <v>1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1</v>
      </c>
      <c r="BZ283" s="1">
        <v>8</v>
      </c>
      <c r="CA283" s="1">
        <v>0</v>
      </c>
      <c r="CB283" s="1">
        <v>0</v>
      </c>
      <c r="CC283" s="1">
        <v>0</v>
      </c>
      <c r="CD283" s="1">
        <v>1</v>
      </c>
      <c r="CE283" s="1">
        <v>0</v>
      </c>
      <c r="CF283" s="1">
        <v>0</v>
      </c>
      <c r="CG283" s="1">
        <v>1</v>
      </c>
      <c r="CH283" s="1">
        <v>0</v>
      </c>
      <c r="CI283" s="1">
        <v>1</v>
      </c>
      <c r="CJ283" s="1">
        <v>0</v>
      </c>
      <c r="CK283" s="1">
        <v>0</v>
      </c>
      <c r="CL283" s="1">
        <v>0</v>
      </c>
      <c r="CM283" s="1">
        <v>0</v>
      </c>
      <c r="CN283" s="1">
        <v>2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3</v>
      </c>
      <c r="CU283" s="1">
        <v>0</v>
      </c>
      <c r="CV283" s="1">
        <v>19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19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9</v>
      </c>
      <c r="DP283" s="1">
        <v>0</v>
      </c>
      <c r="DQ283" s="1">
        <v>0</v>
      </c>
      <c r="DR283" s="1">
        <v>0</v>
      </c>
      <c r="DS283" s="1">
        <v>3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5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2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3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1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1</v>
      </c>
      <c r="GR283" s="1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3</v>
      </c>
    </row>
    <row r="284" spans="1:242" x14ac:dyDescent="0.25">
      <c r="A284">
        <v>16637</v>
      </c>
      <c r="B284">
        <v>25</v>
      </c>
      <c r="C284">
        <v>7</v>
      </c>
      <c r="D284" t="s">
        <v>228</v>
      </c>
      <c r="E284" t="s">
        <v>215</v>
      </c>
      <c r="F284">
        <v>8</v>
      </c>
      <c r="G284">
        <v>36.107999999999997</v>
      </c>
      <c r="H284">
        <v>18.019749999999998</v>
      </c>
      <c r="I284">
        <v>25.503938489999999</v>
      </c>
      <c r="J284">
        <v>89.983333329999994</v>
      </c>
      <c r="K284">
        <v>13.925000000000001</v>
      </c>
      <c r="L284">
        <v>47.636359130000002</v>
      </c>
      <c r="M284">
        <v>11.49319021</v>
      </c>
      <c r="N284">
        <v>2.69</v>
      </c>
      <c r="O284">
        <v>-0.59899999999999998</v>
      </c>
      <c r="P284" t="s">
        <v>217</v>
      </c>
      <c r="Q284" t="s">
        <v>216</v>
      </c>
      <c r="R284" t="s">
        <v>216</v>
      </c>
      <c r="S284" t="s">
        <v>217</v>
      </c>
      <c r="T284" t="s">
        <v>217</v>
      </c>
      <c r="U284" t="s">
        <v>216</v>
      </c>
      <c r="V284">
        <f t="shared" si="16"/>
        <v>20</v>
      </c>
      <c r="W284">
        <f t="shared" si="17"/>
        <v>103</v>
      </c>
      <c r="X284">
        <f t="shared" si="18"/>
        <v>2.8571428571428572</v>
      </c>
      <c r="Y284">
        <f t="shared" si="19"/>
        <v>14.714285714285714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2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3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2</v>
      </c>
      <c r="BB284" s="1">
        <v>0</v>
      </c>
      <c r="BC284" s="1">
        <v>0</v>
      </c>
      <c r="BD284" s="1">
        <v>0</v>
      </c>
      <c r="BE284" s="1">
        <v>6</v>
      </c>
      <c r="BF284" s="1">
        <v>0</v>
      </c>
      <c r="BG284" s="1">
        <v>1</v>
      </c>
      <c r="BH284" s="1">
        <v>0</v>
      </c>
      <c r="BI284" s="1">
        <v>0</v>
      </c>
      <c r="BJ284" s="1">
        <v>0</v>
      </c>
      <c r="BK284" s="1">
        <v>0</v>
      </c>
      <c r="BL284" s="1">
        <v>1</v>
      </c>
      <c r="BM284" s="1">
        <v>8</v>
      </c>
      <c r="BN284" s="1">
        <v>0</v>
      </c>
      <c r="BO284" s="1">
        <v>2</v>
      </c>
      <c r="BP284" s="1">
        <v>1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11</v>
      </c>
      <c r="CA284" s="1">
        <v>2</v>
      </c>
      <c r="CB284" s="1">
        <v>0</v>
      </c>
      <c r="CC284" s="1">
        <v>0</v>
      </c>
      <c r="CD284" s="1">
        <v>1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17</v>
      </c>
      <c r="CU284" s="1">
        <v>0</v>
      </c>
      <c r="CV284" s="1">
        <v>7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27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3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1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4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2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2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</row>
    <row r="285" spans="1:242" x14ac:dyDescent="0.25">
      <c r="A285">
        <v>16644</v>
      </c>
      <c r="B285">
        <v>6</v>
      </c>
      <c r="C285">
        <v>8</v>
      </c>
      <c r="D285" t="s">
        <v>228</v>
      </c>
      <c r="E285" t="s">
        <v>215</v>
      </c>
      <c r="F285">
        <v>4</v>
      </c>
      <c r="G285">
        <v>38.343000000000004</v>
      </c>
      <c r="H285">
        <v>15.42941667</v>
      </c>
      <c r="I285">
        <v>24.834361609999998</v>
      </c>
      <c r="J285">
        <v>95.258333329999999</v>
      </c>
      <c r="K285">
        <v>11.008333329999999</v>
      </c>
      <c r="L285">
        <v>45.322023809999997</v>
      </c>
      <c r="M285">
        <v>11.49161586</v>
      </c>
      <c r="N285">
        <v>2.15</v>
      </c>
      <c r="O285">
        <v>-0.93500000000000005</v>
      </c>
      <c r="P285" t="s">
        <v>216</v>
      </c>
      <c r="Q285" t="s">
        <v>217</v>
      </c>
      <c r="R285" t="s">
        <v>217</v>
      </c>
      <c r="S285" t="s">
        <v>217</v>
      </c>
      <c r="T285" t="s">
        <v>217</v>
      </c>
      <c r="U285" t="s">
        <v>216</v>
      </c>
      <c r="V285">
        <f t="shared" si="16"/>
        <v>27</v>
      </c>
      <c r="W285">
        <f t="shared" si="17"/>
        <v>218</v>
      </c>
      <c r="X285">
        <f t="shared" si="18"/>
        <v>3.375</v>
      </c>
      <c r="Y285">
        <f t="shared" si="19"/>
        <v>27.25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6</v>
      </c>
      <c r="AN285" s="1">
        <v>2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1</v>
      </c>
      <c r="AU285" s="1">
        <v>0</v>
      </c>
      <c r="AV285" s="1">
        <v>0</v>
      </c>
      <c r="AW285" s="1">
        <v>0</v>
      </c>
      <c r="AX285" s="1">
        <v>2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1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1</v>
      </c>
      <c r="CA285" s="1">
        <v>2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98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1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15</v>
      </c>
      <c r="CU285" s="1">
        <v>0</v>
      </c>
      <c r="CV285" s="1">
        <v>5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3</v>
      </c>
      <c r="DC285" s="1">
        <v>2</v>
      </c>
      <c r="DD285" s="1">
        <v>0</v>
      </c>
      <c r="DE285" s="1">
        <v>0</v>
      </c>
      <c r="DF285" s="1">
        <v>0</v>
      </c>
      <c r="DG285" s="1">
        <v>11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2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3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1</v>
      </c>
      <c r="EI285" s="1">
        <v>0</v>
      </c>
      <c r="EJ285" s="1">
        <v>2</v>
      </c>
      <c r="EK285" s="1">
        <v>39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9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5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1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1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2</v>
      </c>
      <c r="IG285">
        <v>0</v>
      </c>
      <c r="IH285">
        <v>0</v>
      </c>
    </row>
    <row r="286" spans="1:242" x14ac:dyDescent="0.25">
      <c r="A286">
        <v>16650</v>
      </c>
      <c r="B286">
        <v>22</v>
      </c>
      <c r="C286">
        <v>7</v>
      </c>
      <c r="D286" t="s">
        <v>228</v>
      </c>
      <c r="E286" t="s">
        <v>215</v>
      </c>
      <c r="F286">
        <v>5</v>
      </c>
      <c r="G286">
        <v>39.562666669999999</v>
      </c>
      <c r="H286">
        <v>16.462916669999998</v>
      </c>
      <c r="I286">
        <v>25.35496032</v>
      </c>
      <c r="J286">
        <v>93.133333329999999</v>
      </c>
      <c r="K286">
        <v>10.45</v>
      </c>
      <c r="L286">
        <v>44.031547619999998</v>
      </c>
      <c r="M286">
        <v>11.49256639</v>
      </c>
      <c r="N286">
        <v>2.7</v>
      </c>
      <c r="O286">
        <v>-0.999</v>
      </c>
      <c r="P286" t="s">
        <v>217</v>
      </c>
      <c r="Q286" t="s">
        <v>216</v>
      </c>
      <c r="R286" t="s">
        <v>216</v>
      </c>
      <c r="S286" t="s">
        <v>217</v>
      </c>
      <c r="T286" t="s">
        <v>217</v>
      </c>
      <c r="U286" t="s">
        <v>217</v>
      </c>
      <c r="V286">
        <f t="shared" si="16"/>
        <v>7</v>
      </c>
      <c r="W286">
        <f t="shared" si="17"/>
        <v>23</v>
      </c>
      <c r="X286">
        <f t="shared" si="18"/>
        <v>1</v>
      </c>
      <c r="Y286">
        <f t="shared" si="19"/>
        <v>3.2857142857142856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2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6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2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5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1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5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2</v>
      </c>
      <c r="IG286">
        <v>0</v>
      </c>
      <c r="IH286">
        <v>0</v>
      </c>
    </row>
    <row r="287" spans="1:242" x14ac:dyDescent="0.25">
      <c r="A287">
        <v>16657</v>
      </c>
      <c r="B287">
        <v>8</v>
      </c>
      <c r="C287">
        <v>7</v>
      </c>
      <c r="D287" t="s">
        <v>228</v>
      </c>
      <c r="E287" t="s">
        <v>215</v>
      </c>
      <c r="F287">
        <v>9</v>
      </c>
      <c r="G287">
        <v>39.321166669999997</v>
      </c>
      <c r="H287">
        <v>16.240500000000001</v>
      </c>
      <c r="I287">
        <v>24.93333333</v>
      </c>
      <c r="J287">
        <v>91.775000000000006</v>
      </c>
      <c r="K287">
        <v>11.8</v>
      </c>
      <c r="L287">
        <v>54.438045629999998</v>
      </c>
      <c r="M287">
        <v>11.49354879</v>
      </c>
      <c r="N287">
        <v>2.4500000000000002</v>
      </c>
      <c r="O287">
        <v>-0.60399999999999998</v>
      </c>
      <c r="P287" t="s">
        <v>216</v>
      </c>
      <c r="Q287" t="s">
        <v>216</v>
      </c>
      <c r="R287" t="s">
        <v>217</v>
      </c>
      <c r="S287" t="s">
        <v>217</v>
      </c>
      <c r="T287" t="s">
        <v>217</v>
      </c>
      <c r="U287" t="s">
        <v>216</v>
      </c>
      <c r="V287">
        <f t="shared" si="16"/>
        <v>3</v>
      </c>
      <c r="W287">
        <f t="shared" si="17"/>
        <v>3</v>
      </c>
      <c r="X287">
        <f t="shared" si="18"/>
        <v>0.42857142857142855</v>
      </c>
      <c r="Y287">
        <f t="shared" si="19"/>
        <v>0.42857142857142855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1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1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1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</row>
    <row r="288" spans="1:242" x14ac:dyDescent="0.25">
      <c r="A288">
        <v>16663</v>
      </c>
      <c r="B288">
        <v>26</v>
      </c>
      <c r="C288">
        <v>7</v>
      </c>
      <c r="D288" t="s">
        <v>228</v>
      </c>
      <c r="E288" t="s">
        <v>215</v>
      </c>
      <c r="F288">
        <v>9</v>
      </c>
      <c r="G288">
        <v>35.627000000000002</v>
      </c>
      <c r="H288">
        <v>15.67225</v>
      </c>
      <c r="I288">
        <v>23.354056050000001</v>
      </c>
      <c r="J288">
        <v>94.816666670000004</v>
      </c>
      <c r="K288">
        <v>13.475</v>
      </c>
      <c r="L288">
        <v>57.111755950000003</v>
      </c>
      <c r="M288">
        <v>11.49293612</v>
      </c>
      <c r="N288">
        <v>1.42</v>
      </c>
      <c r="O288">
        <v>-0.36299999999999999</v>
      </c>
      <c r="P288" t="s">
        <v>217</v>
      </c>
      <c r="Q288" t="s">
        <v>217</v>
      </c>
      <c r="R288" t="s">
        <v>217</v>
      </c>
      <c r="S288" t="s">
        <v>216</v>
      </c>
      <c r="T288" t="s">
        <v>216</v>
      </c>
      <c r="U288" t="s">
        <v>217</v>
      </c>
      <c r="V288">
        <f t="shared" si="16"/>
        <v>23</v>
      </c>
      <c r="W288">
        <f t="shared" si="17"/>
        <v>78</v>
      </c>
      <c r="X288">
        <f t="shared" si="18"/>
        <v>3.2857142857142856</v>
      </c>
      <c r="Y288">
        <f t="shared" si="19"/>
        <v>11.142857142857142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17</v>
      </c>
      <c r="AN288" s="1">
        <v>7</v>
      </c>
      <c r="AO288" s="1">
        <v>0</v>
      </c>
      <c r="AP288" s="1">
        <v>1</v>
      </c>
      <c r="AQ288" s="1">
        <v>0</v>
      </c>
      <c r="AR288" s="1">
        <v>2</v>
      </c>
      <c r="AS288" s="1">
        <v>0</v>
      </c>
      <c r="AT288" s="1">
        <v>3</v>
      </c>
      <c r="AU288" s="1">
        <v>0</v>
      </c>
      <c r="AV288" s="1">
        <v>0</v>
      </c>
      <c r="AW288" s="1">
        <v>0</v>
      </c>
      <c r="AX288" s="1">
        <v>5</v>
      </c>
      <c r="AY288" s="1">
        <v>0</v>
      </c>
      <c r="AZ288" s="1">
        <v>0</v>
      </c>
      <c r="BA288" s="1">
        <v>1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1</v>
      </c>
      <c r="BM288" s="1">
        <v>1</v>
      </c>
      <c r="BN288" s="1">
        <v>0</v>
      </c>
      <c r="BO288" s="1">
        <v>3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5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1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3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2</v>
      </c>
      <c r="CU288" s="1">
        <v>0</v>
      </c>
      <c r="CV288" s="1">
        <v>7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1</v>
      </c>
      <c r="DC288" s="1">
        <v>9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2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2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2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1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1</v>
      </c>
      <c r="IG288">
        <v>0</v>
      </c>
      <c r="IH288">
        <v>1</v>
      </c>
    </row>
    <row r="289" spans="1:242" x14ac:dyDescent="0.25">
      <c r="A289">
        <v>16669</v>
      </c>
      <c r="B289">
        <v>18</v>
      </c>
      <c r="C289">
        <v>7</v>
      </c>
      <c r="D289" t="s">
        <v>228</v>
      </c>
      <c r="E289" t="s">
        <v>215</v>
      </c>
      <c r="F289">
        <v>9</v>
      </c>
      <c r="G289">
        <v>38.194083329999998</v>
      </c>
      <c r="H289">
        <v>13.266833330000001</v>
      </c>
      <c r="I289">
        <v>22.77267758</v>
      </c>
      <c r="J289">
        <v>96.166666669999998</v>
      </c>
      <c r="K289">
        <v>11.84166667</v>
      </c>
      <c r="L289">
        <v>56.877430560000001</v>
      </c>
      <c r="M289">
        <v>11.492491920000001</v>
      </c>
      <c r="N289">
        <v>1.26</v>
      </c>
      <c r="O289">
        <v>-0.71699999999999997</v>
      </c>
      <c r="P289" t="s">
        <v>216</v>
      </c>
      <c r="Q289" t="s">
        <v>217</v>
      </c>
      <c r="R289" t="s">
        <v>217</v>
      </c>
      <c r="S289" t="s">
        <v>217</v>
      </c>
      <c r="T289" t="s">
        <v>217</v>
      </c>
      <c r="U289" t="s">
        <v>217</v>
      </c>
      <c r="V289">
        <f t="shared" si="16"/>
        <v>19</v>
      </c>
      <c r="W289">
        <f t="shared" si="17"/>
        <v>142</v>
      </c>
      <c r="X289">
        <f t="shared" si="18"/>
        <v>2.7142857142857144</v>
      </c>
      <c r="Y289">
        <f t="shared" si="19"/>
        <v>20.285714285714285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93</v>
      </c>
      <c r="AN289" s="1">
        <v>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1</v>
      </c>
      <c r="AU289" s="1">
        <v>0</v>
      </c>
      <c r="AV289" s="1">
        <v>0</v>
      </c>
      <c r="AW289" s="1">
        <v>0</v>
      </c>
      <c r="AX289" s="1">
        <v>4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4</v>
      </c>
      <c r="CA289" s="1">
        <v>0</v>
      </c>
      <c r="CB289" s="1">
        <v>0</v>
      </c>
      <c r="CC289" s="1">
        <v>0</v>
      </c>
      <c r="CD289" s="1">
        <v>1</v>
      </c>
      <c r="CE289" s="1">
        <v>0</v>
      </c>
      <c r="CF289" s="1">
        <v>0</v>
      </c>
      <c r="CG289" s="1">
        <v>1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3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3</v>
      </c>
      <c r="CU289" s="1">
        <v>0</v>
      </c>
      <c r="CV289" s="1">
        <v>12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2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1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5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3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2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1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2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1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2</v>
      </c>
      <c r="IG289">
        <v>0</v>
      </c>
      <c r="IH289">
        <v>0</v>
      </c>
    </row>
    <row r="290" spans="1:242" x14ac:dyDescent="0.25">
      <c r="A290">
        <v>16675</v>
      </c>
      <c r="B290">
        <v>12</v>
      </c>
      <c r="C290">
        <v>7</v>
      </c>
      <c r="D290" t="s">
        <v>228</v>
      </c>
      <c r="E290" t="s">
        <v>215</v>
      </c>
      <c r="F290">
        <v>8</v>
      </c>
      <c r="G290">
        <v>39.61108333</v>
      </c>
      <c r="H290">
        <v>15.37175</v>
      </c>
      <c r="I290">
        <v>24.624065479999999</v>
      </c>
      <c r="J290">
        <v>94.916666669999998</v>
      </c>
      <c r="K290">
        <v>9.5916666670000001</v>
      </c>
      <c r="L290">
        <v>53.844593250000003</v>
      </c>
      <c r="M290">
        <v>11.49317529</v>
      </c>
      <c r="N290">
        <v>2.08</v>
      </c>
      <c r="O290">
        <v>-0.70099999999999996</v>
      </c>
      <c r="P290" t="s">
        <v>217</v>
      </c>
      <c r="Q290" t="s">
        <v>217</v>
      </c>
      <c r="R290" t="s">
        <v>217</v>
      </c>
      <c r="S290" t="s">
        <v>217</v>
      </c>
      <c r="T290" t="s">
        <v>217</v>
      </c>
      <c r="U290" t="s">
        <v>217</v>
      </c>
      <c r="V290">
        <f t="shared" si="16"/>
        <v>20</v>
      </c>
      <c r="W290">
        <f t="shared" si="17"/>
        <v>49</v>
      </c>
      <c r="X290">
        <f t="shared" si="18"/>
        <v>2.8571428571428572</v>
      </c>
      <c r="Y290">
        <f t="shared" si="19"/>
        <v>7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</v>
      </c>
      <c r="AI290" s="1">
        <v>0</v>
      </c>
      <c r="AJ290" s="1">
        <v>0</v>
      </c>
      <c r="AK290" s="1">
        <v>1</v>
      </c>
      <c r="AL290" s="1">
        <v>0</v>
      </c>
      <c r="AM290" s="1">
        <v>9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1</v>
      </c>
      <c r="BB290" s="1">
        <v>0</v>
      </c>
      <c r="BC290" s="1">
        <v>0</v>
      </c>
      <c r="BD290" s="1">
        <v>0</v>
      </c>
      <c r="BE290" s="1">
        <v>0</v>
      </c>
      <c r="BF290" s="1">
        <v>1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1</v>
      </c>
      <c r="CE290" s="1">
        <v>0</v>
      </c>
      <c r="CF290" s="1">
        <v>0</v>
      </c>
      <c r="CG290" s="1">
        <v>1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5</v>
      </c>
      <c r="CU290" s="1">
        <v>0</v>
      </c>
      <c r="CV290" s="1">
        <v>2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8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1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2</v>
      </c>
      <c r="EA290" s="1">
        <v>0</v>
      </c>
      <c r="EB290" s="1">
        <v>1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3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4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1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3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1</v>
      </c>
      <c r="GI290" s="1">
        <v>0</v>
      </c>
      <c r="GJ290" s="1">
        <v>1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</row>
    <row r="291" spans="1:242" x14ac:dyDescent="0.25">
      <c r="A291">
        <v>16680</v>
      </c>
      <c r="B291">
        <v>11</v>
      </c>
      <c r="C291">
        <v>7</v>
      </c>
      <c r="D291" t="s">
        <v>228</v>
      </c>
      <c r="E291" t="s">
        <v>215</v>
      </c>
      <c r="F291">
        <v>8</v>
      </c>
      <c r="G291">
        <v>34.644166669999997</v>
      </c>
      <c r="H291">
        <v>17.775749999999999</v>
      </c>
      <c r="I291">
        <v>24.680003970000001</v>
      </c>
      <c r="J291">
        <v>89.974999999999994</v>
      </c>
      <c r="K291">
        <v>11.858333330000001</v>
      </c>
      <c r="L291">
        <v>46.881696429999998</v>
      </c>
      <c r="M291">
        <v>11.49259382</v>
      </c>
      <c r="N291">
        <v>2.46</v>
      </c>
      <c r="O291">
        <v>-0.78500000000000003</v>
      </c>
      <c r="P291" t="s">
        <v>217</v>
      </c>
      <c r="Q291" t="s">
        <v>216</v>
      </c>
      <c r="R291" t="s">
        <v>217</v>
      </c>
      <c r="S291" t="s">
        <v>217</v>
      </c>
      <c r="T291" t="s">
        <v>217</v>
      </c>
      <c r="U291" t="s">
        <v>217</v>
      </c>
      <c r="V291">
        <f t="shared" si="16"/>
        <v>9</v>
      </c>
      <c r="W291">
        <f t="shared" si="17"/>
        <v>16</v>
      </c>
      <c r="X291">
        <f t="shared" si="18"/>
        <v>1.2857142857142858</v>
      </c>
      <c r="Y291">
        <f t="shared" si="19"/>
        <v>2.2857142857142856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1</v>
      </c>
      <c r="AY291" s="1">
        <v>0</v>
      </c>
      <c r="AZ291" s="1">
        <v>0</v>
      </c>
      <c r="BA291" s="1">
        <v>3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2</v>
      </c>
      <c r="BN291" s="1">
        <v>0</v>
      </c>
      <c r="BO291" s="1">
        <v>1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3</v>
      </c>
      <c r="CP291" s="1">
        <v>0</v>
      </c>
      <c r="CQ291" s="1">
        <v>0</v>
      </c>
      <c r="CR291" s="1">
        <v>0</v>
      </c>
      <c r="CS291" s="1">
        <v>0</v>
      </c>
      <c r="CT291" s="1">
        <v>2</v>
      </c>
      <c r="CU291" s="1">
        <v>0</v>
      </c>
      <c r="CV291" s="1">
        <v>2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1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</row>
    <row r="292" spans="1:242" x14ac:dyDescent="0.25">
      <c r="A292">
        <v>16686</v>
      </c>
      <c r="B292">
        <v>16</v>
      </c>
      <c r="C292">
        <v>7</v>
      </c>
      <c r="D292" t="s">
        <v>228</v>
      </c>
      <c r="E292" t="s">
        <v>215</v>
      </c>
      <c r="F292">
        <v>8</v>
      </c>
      <c r="G292">
        <v>32.583304949999999</v>
      </c>
      <c r="H292">
        <v>9.7295989600000006</v>
      </c>
      <c r="I292">
        <v>17.66533802</v>
      </c>
      <c r="J292">
        <v>94.952262270000006</v>
      </c>
      <c r="K292">
        <v>27.302706879999999</v>
      </c>
      <c r="L292">
        <v>65.517327170000002</v>
      </c>
      <c r="M292">
        <v>10.58780528</v>
      </c>
      <c r="N292">
        <v>-0.79900000000000004</v>
      </c>
      <c r="O292">
        <v>-0.439</v>
      </c>
      <c r="P292" t="s">
        <v>217</v>
      </c>
      <c r="Q292" t="s">
        <v>217</v>
      </c>
      <c r="R292" t="s">
        <v>217</v>
      </c>
      <c r="S292" t="s">
        <v>216</v>
      </c>
      <c r="T292" t="s">
        <v>216</v>
      </c>
      <c r="U292" t="s">
        <v>217</v>
      </c>
      <c r="V292">
        <f t="shared" si="16"/>
        <v>29</v>
      </c>
      <c r="W292">
        <f t="shared" si="17"/>
        <v>84</v>
      </c>
      <c r="X292">
        <f t="shared" si="18"/>
        <v>4.1428571428571432</v>
      </c>
      <c r="Y292">
        <f t="shared" si="19"/>
        <v>12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1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2</v>
      </c>
      <c r="AL292" s="1">
        <v>0</v>
      </c>
      <c r="AM292" s="1">
        <v>7</v>
      </c>
      <c r="AN292" s="1">
        <v>0</v>
      </c>
      <c r="AO292" s="1">
        <v>0</v>
      </c>
      <c r="AP292" s="1">
        <v>1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2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1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1</v>
      </c>
      <c r="BM292" s="1">
        <v>3</v>
      </c>
      <c r="BN292" s="1">
        <v>0</v>
      </c>
      <c r="BO292" s="1">
        <v>0</v>
      </c>
      <c r="BP292" s="1">
        <v>1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1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2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1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8</v>
      </c>
      <c r="CU292" s="1">
        <v>0</v>
      </c>
      <c r="CV292" s="1">
        <v>6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13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1</v>
      </c>
      <c r="DP292" s="1">
        <v>1</v>
      </c>
      <c r="DQ292" s="1">
        <v>0</v>
      </c>
      <c r="DR292" s="1">
        <v>0</v>
      </c>
      <c r="DS292" s="1">
        <v>1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2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2</v>
      </c>
      <c r="EI292" s="1">
        <v>0</v>
      </c>
      <c r="EJ292" s="1">
        <v>0</v>
      </c>
      <c r="EK292" s="1">
        <v>11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1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1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1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2</v>
      </c>
      <c r="GA292" s="1">
        <v>7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1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2</v>
      </c>
      <c r="IG292">
        <v>0</v>
      </c>
      <c r="IH292">
        <v>1</v>
      </c>
    </row>
    <row r="293" spans="1:242" x14ac:dyDescent="0.25">
      <c r="A293">
        <v>16690</v>
      </c>
      <c r="B293">
        <v>16</v>
      </c>
      <c r="C293">
        <v>7</v>
      </c>
      <c r="D293" t="s">
        <v>229</v>
      </c>
      <c r="E293" t="s">
        <v>215</v>
      </c>
      <c r="F293">
        <v>8</v>
      </c>
      <c r="G293">
        <v>31.829976850000001</v>
      </c>
      <c r="H293">
        <v>11.79105556</v>
      </c>
      <c r="I293">
        <v>19.73820697</v>
      </c>
      <c r="J293">
        <v>93.058333329999996</v>
      </c>
      <c r="K293">
        <v>17.44166667</v>
      </c>
      <c r="L293">
        <v>53.798539040000001</v>
      </c>
      <c r="M293">
        <v>10.39602234</v>
      </c>
      <c r="N293">
        <v>0.182</v>
      </c>
      <c r="O293">
        <v>-1.18</v>
      </c>
      <c r="P293" t="s">
        <v>217</v>
      </c>
      <c r="Q293" t="s">
        <v>217</v>
      </c>
      <c r="R293" t="s">
        <v>217</v>
      </c>
      <c r="S293" t="s">
        <v>216</v>
      </c>
      <c r="T293" t="s">
        <v>216</v>
      </c>
      <c r="U293" t="s">
        <v>217</v>
      </c>
      <c r="V293">
        <f t="shared" si="16"/>
        <v>21</v>
      </c>
      <c r="W293">
        <f t="shared" si="17"/>
        <v>70</v>
      </c>
      <c r="X293">
        <f t="shared" si="18"/>
        <v>3</v>
      </c>
      <c r="Y293">
        <f t="shared" si="19"/>
        <v>10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3</v>
      </c>
      <c r="AG293" s="1">
        <v>0</v>
      </c>
      <c r="AH293" s="1">
        <v>0</v>
      </c>
      <c r="AI293" s="1">
        <v>0</v>
      </c>
      <c r="AJ293" s="1">
        <v>0</v>
      </c>
      <c r="AK293" s="1">
        <v>3</v>
      </c>
      <c r="AL293" s="1">
        <v>0</v>
      </c>
      <c r="AM293" s="1">
        <v>8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1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3</v>
      </c>
      <c r="BN293" s="1">
        <v>0</v>
      </c>
      <c r="BO293" s="1">
        <v>1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1</v>
      </c>
      <c r="BZ293" s="1">
        <v>3</v>
      </c>
      <c r="CA293" s="1">
        <v>4</v>
      </c>
      <c r="CB293" s="1">
        <v>1</v>
      </c>
      <c r="CC293" s="1">
        <v>0</v>
      </c>
      <c r="CD293" s="1">
        <v>4</v>
      </c>
      <c r="CE293" s="1">
        <v>0</v>
      </c>
      <c r="CF293" s="1">
        <v>0</v>
      </c>
      <c r="CG293" s="1">
        <v>1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1</v>
      </c>
      <c r="CP293" s="1">
        <v>0</v>
      </c>
      <c r="CQ293" s="1">
        <v>0</v>
      </c>
      <c r="CR293" s="1">
        <v>0</v>
      </c>
      <c r="CS293" s="1">
        <v>0</v>
      </c>
      <c r="CT293" s="1">
        <v>3</v>
      </c>
      <c r="CU293" s="1">
        <v>0</v>
      </c>
      <c r="CV293" s="1">
        <v>8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8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2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1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1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1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12</v>
      </c>
    </row>
    <row r="294" spans="1:242" x14ac:dyDescent="0.25">
      <c r="A294">
        <v>16693</v>
      </c>
      <c r="B294">
        <v>20</v>
      </c>
      <c r="C294">
        <v>7</v>
      </c>
      <c r="D294" t="s">
        <v>228</v>
      </c>
      <c r="E294" t="s">
        <v>215</v>
      </c>
      <c r="F294">
        <v>4</v>
      </c>
      <c r="G294">
        <v>37.241333330000003</v>
      </c>
      <c r="H294">
        <v>16.480833329999999</v>
      </c>
      <c r="I294">
        <v>25.04936756</v>
      </c>
      <c r="J294">
        <v>90.4</v>
      </c>
      <c r="K294">
        <v>10.3</v>
      </c>
      <c r="L294">
        <v>41.294146830000003</v>
      </c>
      <c r="M294">
        <v>11.49169552</v>
      </c>
      <c r="N294">
        <v>2.77</v>
      </c>
      <c r="O294">
        <v>-1.23</v>
      </c>
      <c r="P294" t="s">
        <v>216</v>
      </c>
      <c r="Q294" t="s">
        <v>216</v>
      </c>
      <c r="R294" t="s">
        <v>217</v>
      </c>
      <c r="S294" t="s">
        <v>217</v>
      </c>
      <c r="T294" t="s">
        <v>217</v>
      </c>
      <c r="U294" t="s">
        <v>216</v>
      </c>
      <c r="V294">
        <f t="shared" si="16"/>
        <v>4</v>
      </c>
      <c r="W294">
        <f t="shared" si="17"/>
        <v>10</v>
      </c>
      <c r="X294">
        <f t="shared" si="18"/>
        <v>0.5714285714285714</v>
      </c>
      <c r="Y294">
        <f t="shared" si="19"/>
        <v>1.4285714285714286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4</v>
      </c>
      <c r="AN294" s="1">
        <v>3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1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2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</row>
    <row r="295" spans="1:242" x14ac:dyDescent="0.25">
      <c r="A295">
        <v>16697</v>
      </c>
      <c r="B295">
        <v>1</v>
      </c>
      <c r="C295">
        <v>7</v>
      </c>
      <c r="D295" t="s">
        <v>229</v>
      </c>
      <c r="E295" t="s">
        <v>215</v>
      </c>
      <c r="F295">
        <v>9</v>
      </c>
      <c r="G295">
        <v>33.732083330000002</v>
      </c>
      <c r="H295">
        <v>10.37516667</v>
      </c>
      <c r="I295">
        <v>19.456878469999999</v>
      </c>
      <c r="J295">
        <v>99.35</v>
      </c>
      <c r="K295">
        <v>14.891666669999999</v>
      </c>
      <c r="L295">
        <v>58.779315480000001</v>
      </c>
      <c r="M295">
        <v>10.40106278</v>
      </c>
      <c r="N295">
        <v>-0.52600000000000002</v>
      </c>
      <c r="O295">
        <v>-0.98699999999999999</v>
      </c>
      <c r="P295" t="s">
        <v>216</v>
      </c>
      <c r="Q295" t="s">
        <v>216</v>
      </c>
      <c r="R295" t="s">
        <v>216</v>
      </c>
      <c r="S295" t="s">
        <v>216</v>
      </c>
      <c r="T295" t="s">
        <v>216</v>
      </c>
      <c r="U295" t="s">
        <v>216</v>
      </c>
      <c r="V295">
        <f t="shared" si="16"/>
        <v>13</v>
      </c>
      <c r="W295">
        <f t="shared" si="17"/>
        <v>48</v>
      </c>
      <c r="X295">
        <f t="shared" si="18"/>
        <v>1.8571428571428572</v>
      </c>
      <c r="Y295">
        <f t="shared" si="19"/>
        <v>6.8571428571428568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3</v>
      </c>
      <c r="AN295" s="1">
        <v>0</v>
      </c>
      <c r="AO295" s="1">
        <v>0</v>
      </c>
      <c r="AP295" s="1">
        <v>0</v>
      </c>
      <c r="AQ295" s="1">
        <v>0</v>
      </c>
      <c r="AR295" s="1">
        <v>1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1</v>
      </c>
      <c r="BX295" s="1">
        <v>0</v>
      </c>
      <c r="BY295" s="1">
        <v>1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3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10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1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3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1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9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1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10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4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</row>
    <row r="296" spans="1:242" x14ac:dyDescent="0.25">
      <c r="A296">
        <v>16698</v>
      </c>
      <c r="B296">
        <v>14</v>
      </c>
      <c r="C296">
        <v>7</v>
      </c>
      <c r="D296" t="s">
        <v>228</v>
      </c>
      <c r="E296" t="s">
        <v>215</v>
      </c>
      <c r="F296">
        <v>3</v>
      </c>
      <c r="G296">
        <v>39.954000000000001</v>
      </c>
      <c r="H296">
        <v>15.63466667</v>
      </c>
      <c r="I296">
        <v>25.367460319999999</v>
      </c>
      <c r="J296">
        <v>94.075000000000003</v>
      </c>
      <c r="K296">
        <v>7.9583333329999997</v>
      </c>
      <c r="L296">
        <v>40.971378970000004</v>
      </c>
      <c r="M296">
        <v>11.492471699999999</v>
      </c>
      <c r="N296">
        <v>2.67</v>
      </c>
      <c r="O296">
        <v>-1.29</v>
      </c>
      <c r="P296" t="s">
        <v>217</v>
      </c>
      <c r="Q296" t="s">
        <v>217</v>
      </c>
      <c r="R296" t="s">
        <v>217</v>
      </c>
      <c r="S296" t="s">
        <v>216</v>
      </c>
      <c r="T296" t="s">
        <v>216</v>
      </c>
      <c r="U296" t="s">
        <v>217</v>
      </c>
      <c r="V296">
        <f t="shared" si="16"/>
        <v>15</v>
      </c>
      <c r="W296">
        <f t="shared" si="17"/>
        <v>41</v>
      </c>
      <c r="X296">
        <f t="shared" si="18"/>
        <v>2.1428571428571428</v>
      </c>
      <c r="Y296">
        <f t="shared" si="19"/>
        <v>5.8571428571428568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</v>
      </c>
      <c r="AL296" s="1">
        <v>0</v>
      </c>
      <c r="AM296" s="1">
        <v>5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2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1</v>
      </c>
      <c r="CS296" s="1">
        <v>0</v>
      </c>
      <c r="CT296" s="1">
        <v>1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1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2</v>
      </c>
      <c r="EA296" s="1">
        <v>0</v>
      </c>
      <c r="EB296" s="1">
        <v>2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2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8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3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1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1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3</v>
      </c>
      <c r="GI296" s="1">
        <v>0</v>
      </c>
      <c r="GJ296" s="1">
        <v>8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</row>
    <row r="297" spans="1:242" x14ac:dyDescent="0.25">
      <c r="A297">
        <v>16702</v>
      </c>
      <c r="B297">
        <v>14</v>
      </c>
      <c r="C297">
        <v>7</v>
      </c>
      <c r="D297" t="s">
        <v>229</v>
      </c>
      <c r="E297" t="s">
        <v>215</v>
      </c>
      <c r="F297">
        <v>3</v>
      </c>
      <c r="G297">
        <v>35.021333329999997</v>
      </c>
      <c r="H297">
        <v>12.19275</v>
      </c>
      <c r="I297">
        <v>20.673671630000001</v>
      </c>
      <c r="J297">
        <v>90.3</v>
      </c>
      <c r="K297">
        <v>10.45833333</v>
      </c>
      <c r="L297">
        <v>46.298859129999997</v>
      </c>
      <c r="M297">
        <v>10.397139709999999</v>
      </c>
      <c r="N297">
        <v>1.23</v>
      </c>
      <c r="O297">
        <v>-1.92</v>
      </c>
      <c r="P297" t="s">
        <v>217</v>
      </c>
      <c r="Q297" t="s">
        <v>217</v>
      </c>
      <c r="R297" t="s">
        <v>217</v>
      </c>
      <c r="S297" t="s">
        <v>216</v>
      </c>
      <c r="T297" t="s">
        <v>216</v>
      </c>
      <c r="U297" t="s">
        <v>217</v>
      </c>
      <c r="V297">
        <f t="shared" si="16"/>
        <v>11</v>
      </c>
      <c r="W297">
        <f t="shared" si="17"/>
        <v>25</v>
      </c>
      <c r="X297">
        <f t="shared" si="18"/>
        <v>1.5714285714285714</v>
      </c>
      <c r="Y297">
        <f t="shared" si="19"/>
        <v>3.5714285714285716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1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1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2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1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1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5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3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1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2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7</v>
      </c>
      <c r="IG297">
        <v>0</v>
      </c>
      <c r="IH297">
        <v>0</v>
      </c>
    </row>
    <row r="298" spans="1:242" x14ac:dyDescent="0.25">
      <c r="A298">
        <v>16703</v>
      </c>
      <c r="B298">
        <v>23</v>
      </c>
      <c r="C298">
        <v>8</v>
      </c>
      <c r="D298" t="s">
        <v>228</v>
      </c>
      <c r="E298" t="s">
        <v>215</v>
      </c>
      <c r="F298">
        <v>5</v>
      </c>
      <c r="G298">
        <v>34.341500000000003</v>
      </c>
      <c r="H298">
        <v>13.846</v>
      </c>
      <c r="I298">
        <v>21.50075198</v>
      </c>
      <c r="J298">
        <v>96.516666670000006</v>
      </c>
      <c r="K298">
        <v>27.416666670000001</v>
      </c>
      <c r="L298">
        <v>74.869990079999994</v>
      </c>
      <c r="M298">
        <v>11.2522126</v>
      </c>
      <c r="N298" s="8">
        <v>4.3499999999999997E-3</v>
      </c>
      <c r="O298">
        <v>0.81</v>
      </c>
      <c r="P298" t="s">
        <v>217</v>
      </c>
      <c r="Q298" t="s">
        <v>217</v>
      </c>
      <c r="R298" t="s">
        <v>216</v>
      </c>
      <c r="S298" t="s">
        <v>216</v>
      </c>
      <c r="T298" t="s">
        <v>216</v>
      </c>
      <c r="U298" t="s">
        <v>217</v>
      </c>
      <c r="V298">
        <f t="shared" si="16"/>
        <v>22</v>
      </c>
      <c r="W298">
        <f t="shared" si="17"/>
        <v>165</v>
      </c>
      <c r="X298">
        <f t="shared" si="18"/>
        <v>2.75</v>
      </c>
      <c r="Y298">
        <f t="shared" si="19"/>
        <v>20.625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1</v>
      </c>
      <c r="AF298" s="1">
        <v>0</v>
      </c>
      <c r="AG298" s="1">
        <v>0</v>
      </c>
      <c r="AH298" s="1">
        <v>0</v>
      </c>
      <c r="AI298" s="1">
        <v>1</v>
      </c>
      <c r="AJ298" s="1">
        <v>0</v>
      </c>
      <c r="AK298" s="1">
        <v>0</v>
      </c>
      <c r="AL298" s="1">
        <v>0</v>
      </c>
      <c r="AM298" s="1">
        <v>25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2</v>
      </c>
      <c r="AY298" s="1">
        <v>0</v>
      </c>
      <c r="AZ298" s="1">
        <v>0</v>
      </c>
      <c r="BA298" s="1">
        <v>1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1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2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42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1</v>
      </c>
      <c r="CS298" s="1">
        <v>0</v>
      </c>
      <c r="CT298" s="1">
        <v>6</v>
      </c>
      <c r="CU298" s="1">
        <v>0</v>
      </c>
      <c r="CV298" s="1">
        <v>6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14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1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3</v>
      </c>
      <c r="EA298" s="1">
        <v>0</v>
      </c>
      <c r="EB298" s="1">
        <v>1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44</v>
      </c>
      <c r="EL298" s="1">
        <v>0</v>
      </c>
      <c r="EM298" s="1">
        <v>0</v>
      </c>
      <c r="EN298" s="1">
        <v>1</v>
      </c>
      <c r="EO298" s="1">
        <v>0</v>
      </c>
      <c r="EP298" s="1">
        <v>0</v>
      </c>
      <c r="EQ298" s="1">
        <v>0</v>
      </c>
      <c r="ER298" s="1">
        <v>9</v>
      </c>
      <c r="ES298" s="1">
        <v>0</v>
      </c>
      <c r="ET298" s="1">
        <v>0</v>
      </c>
      <c r="EU298" s="1">
        <v>1</v>
      </c>
      <c r="EV298" s="1">
        <v>0</v>
      </c>
      <c r="EW298" s="1">
        <v>0</v>
      </c>
      <c r="EX298" s="1">
        <v>0</v>
      </c>
      <c r="EY298" s="1">
        <v>0</v>
      </c>
      <c r="EZ298" s="1">
        <v>1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1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1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</row>
    <row r="299" spans="1:242" x14ac:dyDescent="0.25">
      <c r="A299">
        <v>16707</v>
      </c>
      <c r="B299">
        <v>23</v>
      </c>
      <c r="C299">
        <v>9</v>
      </c>
      <c r="D299" t="s">
        <v>229</v>
      </c>
      <c r="E299" t="s">
        <v>215</v>
      </c>
      <c r="F299">
        <v>5</v>
      </c>
      <c r="G299">
        <v>35.979583329999997</v>
      </c>
      <c r="H299">
        <v>7.8220833330000001</v>
      </c>
      <c r="I299">
        <v>19.166932039999999</v>
      </c>
      <c r="J299">
        <v>90.275000000000006</v>
      </c>
      <c r="K299">
        <v>13.28333333</v>
      </c>
      <c r="L299">
        <v>54.516369050000002</v>
      </c>
      <c r="M299">
        <v>10.394788999999999</v>
      </c>
      <c r="N299">
        <v>0.47399999999999998</v>
      </c>
      <c r="O299">
        <v>-2</v>
      </c>
      <c r="P299" t="s">
        <v>217</v>
      </c>
      <c r="Q299" t="s">
        <v>217</v>
      </c>
      <c r="R299" t="s">
        <v>216</v>
      </c>
      <c r="S299" t="s">
        <v>216</v>
      </c>
      <c r="T299" t="s">
        <v>216</v>
      </c>
      <c r="U299" t="s">
        <v>217</v>
      </c>
      <c r="V299">
        <f t="shared" si="16"/>
        <v>21</v>
      </c>
      <c r="W299">
        <f t="shared" si="17"/>
        <v>158</v>
      </c>
      <c r="X299">
        <f t="shared" si="18"/>
        <v>2.3333333333333335</v>
      </c>
      <c r="Y299">
        <f t="shared" si="19"/>
        <v>17.555555555555557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46</v>
      </c>
      <c r="AN299" s="1">
        <v>0</v>
      </c>
      <c r="AO299" s="1">
        <v>2</v>
      </c>
      <c r="AP299" s="1">
        <v>1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4</v>
      </c>
      <c r="AY299" s="1">
        <v>0</v>
      </c>
      <c r="AZ299" s="1">
        <v>0</v>
      </c>
      <c r="BA299" s="1">
        <v>2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2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1</v>
      </c>
      <c r="BV299" s="1">
        <v>0</v>
      </c>
      <c r="BW299" s="1">
        <v>0</v>
      </c>
      <c r="BX299" s="1">
        <v>0</v>
      </c>
      <c r="BY299" s="1">
        <v>0</v>
      </c>
      <c r="BZ299" s="1">
        <v>3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9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1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4</v>
      </c>
      <c r="CU299" s="1">
        <v>0</v>
      </c>
      <c r="CV299" s="1">
        <v>17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23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2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4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17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11</v>
      </c>
      <c r="ES299" s="1">
        <v>0</v>
      </c>
      <c r="ET299" s="1">
        <v>0</v>
      </c>
      <c r="EU299" s="1">
        <v>1</v>
      </c>
      <c r="EV299" s="1">
        <v>0</v>
      </c>
      <c r="EW299" s="1">
        <v>0</v>
      </c>
      <c r="EX299" s="1">
        <v>0</v>
      </c>
      <c r="EY299" s="1">
        <v>0</v>
      </c>
      <c r="EZ299" s="1">
        <v>3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2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3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</row>
    <row r="300" spans="1:242" x14ac:dyDescent="0.25">
      <c r="A300">
        <v>16710</v>
      </c>
      <c r="B300">
        <v>17</v>
      </c>
      <c r="C300">
        <v>7</v>
      </c>
      <c r="D300" t="s">
        <v>228</v>
      </c>
      <c r="E300" t="s">
        <v>215</v>
      </c>
      <c r="F300">
        <v>6</v>
      </c>
      <c r="G300">
        <v>39.610250000000001</v>
      </c>
      <c r="H300">
        <v>13.99583333</v>
      </c>
      <c r="I300">
        <v>24.284737870000001</v>
      </c>
      <c r="J300">
        <v>82.766666670000006</v>
      </c>
      <c r="K300">
        <v>10.275</v>
      </c>
      <c r="L300">
        <v>37.012035529999999</v>
      </c>
      <c r="M300">
        <v>11.49064313</v>
      </c>
      <c r="N300">
        <v>3.56</v>
      </c>
      <c r="O300">
        <v>-2.12</v>
      </c>
      <c r="P300" t="s">
        <v>216</v>
      </c>
      <c r="Q300" t="s">
        <v>217</v>
      </c>
      <c r="R300" t="s">
        <v>217</v>
      </c>
      <c r="S300" t="s">
        <v>217</v>
      </c>
      <c r="T300" t="s">
        <v>217</v>
      </c>
      <c r="U300" t="s">
        <v>216</v>
      </c>
      <c r="V300">
        <f t="shared" si="16"/>
        <v>15</v>
      </c>
      <c r="W300">
        <f t="shared" si="17"/>
        <v>50</v>
      </c>
      <c r="X300">
        <f t="shared" si="18"/>
        <v>2.1428571428571428</v>
      </c>
      <c r="Y300">
        <f t="shared" si="19"/>
        <v>7.1428571428571432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10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1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1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1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1</v>
      </c>
      <c r="CU300" s="1">
        <v>0</v>
      </c>
      <c r="CV300" s="1">
        <v>2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8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1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6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1</v>
      </c>
      <c r="EI300" s="1">
        <v>0</v>
      </c>
      <c r="EJ300" s="1">
        <v>1</v>
      </c>
      <c r="EK300" s="1">
        <v>13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2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>
        <v>0</v>
      </c>
      <c r="GT300">
        <v>0</v>
      </c>
      <c r="GU300">
        <v>0</v>
      </c>
      <c r="GV300">
        <v>1</v>
      </c>
      <c r="GW300">
        <v>0</v>
      </c>
      <c r="GX300">
        <v>1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</row>
    <row r="301" spans="1:242" x14ac:dyDescent="0.25">
      <c r="A301">
        <v>16715</v>
      </c>
      <c r="B301">
        <v>17</v>
      </c>
      <c r="C301">
        <v>7</v>
      </c>
      <c r="D301" t="s">
        <v>229</v>
      </c>
      <c r="E301" t="s">
        <v>215</v>
      </c>
      <c r="F301">
        <v>6</v>
      </c>
      <c r="G301">
        <v>32.493666670000003</v>
      </c>
      <c r="H301">
        <v>10.44408333</v>
      </c>
      <c r="I301">
        <v>19.028997019999998</v>
      </c>
      <c r="J301">
        <v>90.741666670000001</v>
      </c>
      <c r="K301">
        <v>15.71666667</v>
      </c>
      <c r="L301">
        <v>49.203174599999997</v>
      </c>
      <c r="M301">
        <v>10.391889430000001</v>
      </c>
      <c r="N301">
        <v>0.40400000000000003</v>
      </c>
      <c r="O301">
        <v>-1.76</v>
      </c>
      <c r="P301" t="s">
        <v>216</v>
      </c>
      <c r="Q301" t="s">
        <v>217</v>
      </c>
      <c r="R301" t="s">
        <v>217</v>
      </c>
      <c r="S301" t="s">
        <v>217</v>
      </c>
      <c r="T301" t="s">
        <v>217</v>
      </c>
      <c r="U301" t="s">
        <v>216</v>
      </c>
      <c r="V301">
        <f t="shared" si="16"/>
        <v>7</v>
      </c>
      <c r="W301">
        <f t="shared" si="17"/>
        <v>17</v>
      </c>
      <c r="X301">
        <f t="shared" si="18"/>
        <v>1</v>
      </c>
      <c r="Y301">
        <f t="shared" si="19"/>
        <v>2.4285714285714284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s="1">
        <v>0</v>
      </c>
      <c r="AM301" s="1">
        <v>10</v>
      </c>
      <c r="AN301" s="1">
        <v>0</v>
      </c>
      <c r="AO301" s="1">
        <v>1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1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1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1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2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</row>
    <row r="302" spans="1:242" x14ac:dyDescent="0.25">
      <c r="A302">
        <v>16716</v>
      </c>
      <c r="B302">
        <v>31</v>
      </c>
      <c r="C302">
        <v>7</v>
      </c>
      <c r="D302" t="s">
        <v>228</v>
      </c>
      <c r="E302" t="s">
        <v>215</v>
      </c>
      <c r="F302">
        <v>4</v>
      </c>
      <c r="G302">
        <v>37.660416669999996</v>
      </c>
      <c r="H302">
        <v>16.409416669999999</v>
      </c>
      <c r="I302">
        <v>25.927719249999999</v>
      </c>
      <c r="J302">
        <v>94.058333329999996</v>
      </c>
      <c r="K302">
        <v>10.66666667</v>
      </c>
      <c r="L302">
        <v>36.385714290000003</v>
      </c>
      <c r="M302">
        <v>11.49191461</v>
      </c>
      <c r="N302">
        <v>2.67</v>
      </c>
      <c r="O302">
        <v>-1.2</v>
      </c>
      <c r="P302" t="s">
        <v>217</v>
      </c>
      <c r="Q302" t="s">
        <v>216</v>
      </c>
      <c r="R302" t="s">
        <v>217</v>
      </c>
      <c r="S302" t="s">
        <v>216</v>
      </c>
      <c r="T302" t="s">
        <v>216</v>
      </c>
      <c r="U302" t="s">
        <v>217</v>
      </c>
      <c r="V302">
        <f t="shared" si="16"/>
        <v>11</v>
      </c>
      <c r="W302">
        <f t="shared" si="17"/>
        <v>30</v>
      </c>
      <c r="X302">
        <f t="shared" si="18"/>
        <v>1.5714285714285714</v>
      </c>
      <c r="Y302">
        <f t="shared" si="19"/>
        <v>4.2857142857142856</v>
      </c>
      <c r="Z302" s="1">
        <v>0</v>
      </c>
      <c r="AA302" s="1">
        <v>0</v>
      </c>
      <c r="AB302" s="1">
        <v>0</v>
      </c>
      <c r="AC302" s="1">
        <v>0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6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4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2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1</v>
      </c>
      <c r="CS302" s="1">
        <v>0</v>
      </c>
      <c r="CT302" s="1">
        <v>2</v>
      </c>
      <c r="CU302" s="1">
        <v>0</v>
      </c>
      <c r="CV302" s="1">
        <v>7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2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3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1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1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</row>
    <row r="303" spans="1:242" x14ac:dyDescent="0.25">
      <c r="A303">
        <v>16721</v>
      </c>
      <c r="B303">
        <v>31</v>
      </c>
      <c r="C303">
        <v>7</v>
      </c>
      <c r="D303" t="s">
        <v>229</v>
      </c>
      <c r="E303" t="s">
        <v>215</v>
      </c>
      <c r="F303">
        <v>4</v>
      </c>
      <c r="G303">
        <v>33.26391667</v>
      </c>
      <c r="H303">
        <v>14.21383333</v>
      </c>
      <c r="I303">
        <v>21.030866069999998</v>
      </c>
      <c r="J303">
        <v>90.291666669999998</v>
      </c>
      <c r="K303">
        <v>13.675000000000001</v>
      </c>
      <c r="L303">
        <v>44.123660710000003</v>
      </c>
      <c r="M303">
        <v>10.39554027</v>
      </c>
      <c r="N303">
        <v>1.31</v>
      </c>
      <c r="O303">
        <v>-1.59</v>
      </c>
      <c r="P303" t="s">
        <v>217</v>
      </c>
      <c r="Q303" t="s">
        <v>216</v>
      </c>
      <c r="R303" t="s">
        <v>217</v>
      </c>
      <c r="S303" t="s">
        <v>216</v>
      </c>
      <c r="T303" t="s">
        <v>216</v>
      </c>
      <c r="U303" t="s">
        <v>217</v>
      </c>
      <c r="V303">
        <f t="shared" si="16"/>
        <v>26</v>
      </c>
      <c r="W303">
        <f t="shared" si="17"/>
        <v>144</v>
      </c>
      <c r="X303">
        <f t="shared" si="18"/>
        <v>3.7142857142857144</v>
      </c>
      <c r="Y303">
        <f t="shared" si="19"/>
        <v>20.571428571428573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0</v>
      </c>
      <c r="AJ303" s="1">
        <v>0</v>
      </c>
      <c r="AK303" s="1">
        <v>1</v>
      </c>
      <c r="AL303" s="1">
        <v>0</v>
      </c>
      <c r="AM303" s="1">
        <v>12</v>
      </c>
      <c r="AN303" s="1">
        <v>0</v>
      </c>
      <c r="AO303" s="1">
        <v>2</v>
      </c>
      <c r="AP303" s="1">
        <v>1</v>
      </c>
      <c r="AQ303" s="1">
        <v>0</v>
      </c>
      <c r="AR303" s="1">
        <v>6</v>
      </c>
      <c r="AS303" s="1">
        <v>0</v>
      </c>
      <c r="AT303" s="1">
        <v>2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4</v>
      </c>
      <c r="BG303" s="1">
        <v>1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2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1</v>
      </c>
      <c r="BX303" s="1">
        <v>0</v>
      </c>
      <c r="BY303" s="1">
        <v>10</v>
      </c>
      <c r="BZ303" s="1">
        <v>14</v>
      </c>
      <c r="CA303" s="1">
        <v>0</v>
      </c>
      <c r="CB303" s="1">
        <v>0</v>
      </c>
      <c r="CC303" s="1">
        <v>0</v>
      </c>
      <c r="CD303" s="1">
        <v>2</v>
      </c>
      <c r="CE303" s="1">
        <v>0</v>
      </c>
      <c r="CF303" s="1">
        <v>0</v>
      </c>
      <c r="CG303" s="1">
        <v>0</v>
      </c>
      <c r="CH303" s="1">
        <v>4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2</v>
      </c>
      <c r="CS303" s="1">
        <v>0</v>
      </c>
      <c r="CT303" s="1">
        <v>5</v>
      </c>
      <c r="CU303" s="1">
        <v>1</v>
      </c>
      <c r="CV303" s="1">
        <v>64</v>
      </c>
      <c r="CW303" s="1">
        <v>1</v>
      </c>
      <c r="CX303" s="1">
        <v>0</v>
      </c>
      <c r="CY303" s="1">
        <v>0</v>
      </c>
      <c r="CZ303" s="1">
        <v>0</v>
      </c>
      <c r="DA303" s="1">
        <v>0</v>
      </c>
      <c r="DB303" s="1">
        <v>1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1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2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1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2</v>
      </c>
      <c r="IG303">
        <v>0</v>
      </c>
      <c r="IH303">
        <v>1</v>
      </c>
    </row>
    <row r="304" spans="1:242" x14ac:dyDescent="0.25">
      <c r="A304">
        <v>16722</v>
      </c>
      <c r="B304">
        <v>13</v>
      </c>
      <c r="C304">
        <v>6</v>
      </c>
      <c r="D304" t="s">
        <v>228</v>
      </c>
      <c r="E304" t="s">
        <v>215</v>
      </c>
      <c r="F304">
        <v>1</v>
      </c>
      <c r="G304">
        <v>36.383333329999999</v>
      </c>
      <c r="H304">
        <v>13.89</v>
      </c>
      <c r="I304">
        <v>24.098319440000001</v>
      </c>
      <c r="J304">
        <v>87.35</v>
      </c>
      <c r="K304">
        <v>11.15833333</v>
      </c>
      <c r="L304">
        <v>35.149454370000001</v>
      </c>
      <c r="M304">
        <v>11.490862290000001</v>
      </c>
      <c r="N304">
        <v>2.77</v>
      </c>
      <c r="O304">
        <v>-1.91</v>
      </c>
      <c r="P304" t="s">
        <v>217</v>
      </c>
      <c r="Q304" t="s">
        <v>217</v>
      </c>
      <c r="R304" t="s">
        <v>217</v>
      </c>
      <c r="S304" t="s">
        <v>216</v>
      </c>
      <c r="T304" t="s">
        <v>216</v>
      </c>
      <c r="U304" t="s">
        <v>217</v>
      </c>
      <c r="V304">
        <f t="shared" si="16"/>
        <v>33</v>
      </c>
      <c r="W304">
        <f t="shared" si="17"/>
        <v>167</v>
      </c>
      <c r="X304">
        <f t="shared" si="18"/>
        <v>5.5</v>
      </c>
      <c r="Y304">
        <f t="shared" si="19"/>
        <v>27.833333333333332</v>
      </c>
      <c r="Z304" s="1">
        <v>0</v>
      </c>
      <c r="AA304" s="1">
        <v>0</v>
      </c>
      <c r="AB304" s="1">
        <v>0</v>
      </c>
      <c r="AC304" s="1">
        <v>0</v>
      </c>
      <c r="AD304" s="1">
        <v>1</v>
      </c>
      <c r="AE304" s="1">
        <v>2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2</v>
      </c>
      <c r="AL304" s="1">
        <v>0</v>
      </c>
      <c r="AM304" s="1">
        <v>27</v>
      </c>
      <c r="AN304" s="1">
        <v>0</v>
      </c>
      <c r="AO304" s="1">
        <v>0</v>
      </c>
      <c r="AP304" s="1">
        <v>0</v>
      </c>
      <c r="AQ304" s="1">
        <v>0</v>
      </c>
      <c r="AR304" s="1">
        <v>1</v>
      </c>
      <c r="AS304" s="1">
        <v>0</v>
      </c>
      <c r="AT304" s="1">
        <v>1</v>
      </c>
      <c r="AU304" s="1">
        <v>2</v>
      </c>
      <c r="AV304" s="1">
        <v>0</v>
      </c>
      <c r="AW304" s="1">
        <v>0</v>
      </c>
      <c r="AX304" s="1">
        <v>30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1</v>
      </c>
      <c r="BF304" s="1">
        <v>3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1</v>
      </c>
      <c r="BN304" s="1">
        <v>0</v>
      </c>
      <c r="BO304" s="1">
        <v>3</v>
      </c>
      <c r="BP304" s="1">
        <v>1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15</v>
      </c>
      <c r="CA304" s="1">
        <v>1</v>
      </c>
      <c r="CB304" s="1">
        <v>0</v>
      </c>
      <c r="CC304" s="1">
        <v>0</v>
      </c>
      <c r="CD304" s="1">
        <v>1</v>
      </c>
      <c r="CE304" s="1">
        <v>0</v>
      </c>
      <c r="CF304" s="1">
        <v>0</v>
      </c>
      <c r="CG304" s="1">
        <v>1</v>
      </c>
      <c r="CH304" s="1">
        <v>11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5</v>
      </c>
      <c r="CS304" s="1">
        <v>0</v>
      </c>
      <c r="CT304" s="1">
        <v>0</v>
      </c>
      <c r="CU304" s="1">
        <v>0</v>
      </c>
      <c r="CV304" s="1">
        <v>5</v>
      </c>
      <c r="CW304" s="1">
        <v>8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2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3</v>
      </c>
      <c r="DS304" s="1">
        <v>3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1</v>
      </c>
      <c r="EA304" s="1">
        <v>0</v>
      </c>
      <c r="EB304" s="1">
        <v>8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1</v>
      </c>
      <c r="EK304" s="1">
        <v>2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9</v>
      </c>
      <c r="ES304" s="1">
        <v>0</v>
      </c>
      <c r="ET304" s="1">
        <v>0</v>
      </c>
      <c r="EU304" s="1">
        <v>0</v>
      </c>
      <c r="EV304" s="1">
        <v>1</v>
      </c>
      <c r="EW304" s="1">
        <v>0</v>
      </c>
      <c r="EX304" s="1">
        <v>0</v>
      </c>
      <c r="EY304" s="1">
        <v>0</v>
      </c>
      <c r="EZ304" s="1">
        <v>12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2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1</v>
      </c>
      <c r="ID304">
        <v>0</v>
      </c>
      <c r="IE304">
        <v>0</v>
      </c>
      <c r="IF304">
        <v>0</v>
      </c>
      <c r="IG304">
        <v>0</v>
      </c>
      <c r="IH304">
        <v>0</v>
      </c>
    </row>
    <row r="305" spans="1:242" x14ac:dyDescent="0.25">
      <c r="A305">
        <v>16727</v>
      </c>
      <c r="B305">
        <v>13</v>
      </c>
      <c r="C305">
        <v>7</v>
      </c>
      <c r="D305" t="s">
        <v>229</v>
      </c>
      <c r="E305" t="s">
        <v>215</v>
      </c>
      <c r="F305">
        <v>1</v>
      </c>
      <c r="G305">
        <v>30.707583329999999</v>
      </c>
      <c r="H305">
        <v>12.315250000000001</v>
      </c>
      <c r="I305">
        <v>18.836392360000001</v>
      </c>
      <c r="J305">
        <v>94.25</v>
      </c>
      <c r="K305">
        <v>16.133333329999999</v>
      </c>
      <c r="L305">
        <v>47.81994048</v>
      </c>
      <c r="M305">
        <v>10.39251876</v>
      </c>
      <c r="N305" s="8">
        <v>4.8300000000000003E-2</v>
      </c>
      <c r="O305">
        <v>-1.43</v>
      </c>
      <c r="P305" t="s">
        <v>217</v>
      </c>
      <c r="Q305" t="s">
        <v>217</v>
      </c>
      <c r="R305" t="s">
        <v>217</v>
      </c>
      <c r="S305" t="s">
        <v>216</v>
      </c>
      <c r="T305" t="s">
        <v>216</v>
      </c>
      <c r="U305" t="s">
        <v>217</v>
      </c>
      <c r="V305">
        <f t="shared" si="16"/>
        <v>20</v>
      </c>
      <c r="W305">
        <f t="shared" si="17"/>
        <v>76</v>
      </c>
      <c r="X305">
        <f t="shared" si="18"/>
        <v>2.8571428571428572</v>
      </c>
      <c r="Y305">
        <f t="shared" si="19"/>
        <v>10.857142857142858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17</v>
      </c>
      <c r="AN305" s="1">
        <v>0</v>
      </c>
      <c r="AO305" s="1">
        <v>6</v>
      </c>
      <c r="AP305" s="1">
        <v>1</v>
      </c>
      <c r="AQ305" s="1">
        <v>0</v>
      </c>
      <c r="AR305" s="1">
        <v>3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2</v>
      </c>
      <c r="AY305" s="1">
        <v>0</v>
      </c>
      <c r="AZ305" s="1">
        <v>0</v>
      </c>
      <c r="BA305" s="1">
        <v>1</v>
      </c>
      <c r="BB305" s="1">
        <v>0</v>
      </c>
      <c r="BC305" s="1">
        <v>0</v>
      </c>
      <c r="BD305" s="1">
        <v>0</v>
      </c>
      <c r="BE305" s="1">
        <v>0</v>
      </c>
      <c r="BF305" s="1">
        <v>2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1</v>
      </c>
      <c r="BM305" s="1">
        <v>0</v>
      </c>
      <c r="BN305" s="1">
        <v>0</v>
      </c>
      <c r="BO305" s="1">
        <v>1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4</v>
      </c>
      <c r="BW305" s="1">
        <v>0</v>
      </c>
      <c r="BX305" s="1">
        <v>0</v>
      </c>
      <c r="BY305" s="1">
        <v>9</v>
      </c>
      <c r="BZ305" s="1">
        <v>1</v>
      </c>
      <c r="CA305" s="1">
        <v>0</v>
      </c>
      <c r="CB305" s="1">
        <v>1</v>
      </c>
      <c r="CC305" s="1">
        <v>0</v>
      </c>
      <c r="CD305" s="1">
        <v>1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1</v>
      </c>
      <c r="CS305" s="1">
        <v>0</v>
      </c>
      <c r="CT305" s="1">
        <v>0</v>
      </c>
      <c r="CU305" s="1">
        <v>0</v>
      </c>
      <c r="CV305" s="1">
        <v>8</v>
      </c>
      <c r="CW305" s="1">
        <v>6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2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1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8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</row>
    <row r="306" spans="1:242" x14ac:dyDescent="0.25">
      <c r="A306">
        <v>16728</v>
      </c>
      <c r="B306">
        <v>27</v>
      </c>
      <c r="C306">
        <v>7</v>
      </c>
      <c r="D306" t="s">
        <v>228</v>
      </c>
      <c r="E306" t="s">
        <v>215</v>
      </c>
      <c r="F306">
        <v>3</v>
      </c>
      <c r="G306">
        <v>37.191166670000001</v>
      </c>
      <c r="H306">
        <v>16.585999999999999</v>
      </c>
      <c r="I306">
        <v>25.341375769999999</v>
      </c>
      <c r="J306">
        <v>91.575000000000003</v>
      </c>
      <c r="K306">
        <v>12.33333333</v>
      </c>
      <c r="L306">
        <v>39.385240799999998</v>
      </c>
      <c r="M306">
        <v>11.49171967</v>
      </c>
      <c r="N306">
        <v>2.71</v>
      </c>
      <c r="O306">
        <v>-1.1299999999999999</v>
      </c>
      <c r="P306" t="s">
        <v>217</v>
      </c>
      <c r="Q306" t="s">
        <v>217</v>
      </c>
      <c r="R306" t="s">
        <v>217</v>
      </c>
      <c r="S306" t="s">
        <v>217</v>
      </c>
      <c r="T306" t="s">
        <v>217</v>
      </c>
      <c r="U306" t="s">
        <v>216</v>
      </c>
      <c r="V306">
        <f t="shared" si="16"/>
        <v>4</v>
      </c>
      <c r="W306">
        <f t="shared" si="17"/>
        <v>8</v>
      </c>
      <c r="X306">
        <f t="shared" si="18"/>
        <v>0.5714285714285714</v>
      </c>
      <c r="Y306">
        <f t="shared" si="19"/>
        <v>1.1428571428571428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1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1</v>
      </c>
      <c r="BX306" s="1">
        <v>0</v>
      </c>
      <c r="BY306" s="1">
        <v>0</v>
      </c>
      <c r="BZ306" s="1">
        <v>2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4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</row>
    <row r="307" spans="1:242" x14ac:dyDescent="0.25">
      <c r="A307">
        <v>16733</v>
      </c>
      <c r="B307">
        <v>27</v>
      </c>
      <c r="C307">
        <v>7</v>
      </c>
      <c r="D307" t="s">
        <v>229</v>
      </c>
      <c r="E307" t="s">
        <v>215</v>
      </c>
      <c r="F307">
        <v>3</v>
      </c>
      <c r="G307">
        <v>31.520666670000001</v>
      </c>
      <c r="H307">
        <v>15.284333330000001</v>
      </c>
      <c r="I307">
        <v>20.62052778</v>
      </c>
      <c r="J307">
        <v>89.583333330000002</v>
      </c>
      <c r="K307">
        <v>16.383333329999999</v>
      </c>
      <c r="L307">
        <v>45.57415675</v>
      </c>
      <c r="M307">
        <v>10.39498057</v>
      </c>
      <c r="N307">
        <v>1.17</v>
      </c>
      <c r="O307">
        <v>-1.32</v>
      </c>
      <c r="P307" t="s">
        <v>217</v>
      </c>
      <c r="Q307" t="s">
        <v>217</v>
      </c>
      <c r="R307" t="s">
        <v>217</v>
      </c>
      <c r="S307" t="s">
        <v>217</v>
      </c>
      <c r="T307" t="s">
        <v>217</v>
      </c>
      <c r="U307" t="s">
        <v>216</v>
      </c>
      <c r="V307">
        <f t="shared" si="16"/>
        <v>5</v>
      </c>
      <c r="W307">
        <f t="shared" si="17"/>
        <v>8</v>
      </c>
      <c r="X307">
        <f t="shared" si="18"/>
        <v>0.7142857142857143</v>
      </c>
      <c r="Y307">
        <f t="shared" si="19"/>
        <v>1.1428571428571428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2</v>
      </c>
      <c r="AL307" s="1">
        <v>0</v>
      </c>
      <c r="AM307" s="1">
        <v>2</v>
      </c>
      <c r="AN307" s="1">
        <v>0</v>
      </c>
      <c r="AO307" s="1">
        <v>0</v>
      </c>
      <c r="AP307" s="1">
        <v>0</v>
      </c>
      <c r="AQ307" s="1">
        <v>0</v>
      </c>
      <c r="AR307" s="1">
        <v>1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2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1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</row>
    <row r="308" spans="1:242" x14ac:dyDescent="0.25">
      <c r="A308">
        <v>16738</v>
      </c>
      <c r="B308">
        <v>7</v>
      </c>
      <c r="C308">
        <v>7</v>
      </c>
      <c r="D308" t="s">
        <v>224</v>
      </c>
      <c r="E308" t="s">
        <v>220</v>
      </c>
      <c r="F308">
        <v>3</v>
      </c>
      <c r="G308">
        <v>36.045250000000003</v>
      </c>
      <c r="H308">
        <v>10.83375</v>
      </c>
      <c r="I308">
        <v>20.13445883</v>
      </c>
      <c r="J308">
        <v>90.158333330000005</v>
      </c>
      <c r="K308">
        <v>8.4250000000000007</v>
      </c>
      <c r="L308">
        <v>47.78829365</v>
      </c>
      <c r="M308">
        <v>13.983650320000001</v>
      </c>
      <c r="N308">
        <v>1.85</v>
      </c>
      <c r="O308">
        <v>-1.45</v>
      </c>
      <c r="P308" t="s">
        <v>216</v>
      </c>
      <c r="Q308" t="s">
        <v>216</v>
      </c>
      <c r="R308" t="s">
        <v>217</v>
      </c>
      <c r="S308" t="s">
        <v>216</v>
      </c>
      <c r="T308" t="s">
        <v>216</v>
      </c>
      <c r="U308" t="s">
        <v>217</v>
      </c>
      <c r="V308">
        <f t="shared" si="16"/>
        <v>24</v>
      </c>
      <c r="W308">
        <f t="shared" si="17"/>
        <v>126</v>
      </c>
      <c r="X308">
        <f t="shared" si="18"/>
        <v>3.4285714285714284</v>
      </c>
      <c r="Y308">
        <f t="shared" si="19"/>
        <v>18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30</v>
      </c>
      <c r="AN308" s="1">
        <v>0</v>
      </c>
      <c r="AO308" s="1">
        <v>1</v>
      </c>
      <c r="AP308" s="1">
        <v>7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1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1</v>
      </c>
      <c r="BM308" s="1">
        <v>1</v>
      </c>
      <c r="BN308" s="1">
        <v>0</v>
      </c>
      <c r="BO308" s="1">
        <v>1</v>
      </c>
      <c r="BP308" s="1">
        <v>0</v>
      </c>
      <c r="BQ308" s="1">
        <v>0</v>
      </c>
      <c r="BR308" s="1">
        <v>0</v>
      </c>
      <c r="BS308" s="1">
        <v>2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5</v>
      </c>
      <c r="BZ308" s="1">
        <v>13</v>
      </c>
      <c r="CA308" s="1">
        <v>0</v>
      </c>
      <c r="CB308" s="1">
        <v>0</v>
      </c>
      <c r="CC308" s="1">
        <v>0</v>
      </c>
      <c r="CD308" s="1">
        <v>1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2</v>
      </c>
      <c r="CU308" s="1">
        <v>0</v>
      </c>
      <c r="CV308" s="1">
        <v>34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3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1</v>
      </c>
      <c r="EA308" s="1">
        <v>0</v>
      </c>
      <c r="EB308" s="1">
        <v>2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5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2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1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2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6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3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</row>
    <row r="309" spans="1:242" x14ac:dyDescent="0.25">
      <c r="A309">
        <v>16743</v>
      </c>
      <c r="B309">
        <v>24</v>
      </c>
      <c r="C309">
        <v>7</v>
      </c>
      <c r="D309" t="s">
        <v>229</v>
      </c>
      <c r="E309" t="s">
        <v>215</v>
      </c>
      <c r="F309">
        <v>3</v>
      </c>
      <c r="G309">
        <v>23.416833329999999</v>
      </c>
      <c r="H309">
        <v>10.76675</v>
      </c>
      <c r="I309">
        <v>17.07722321</v>
      </c>
      <c r="J309">
        <v>94.183333329999996</v>
      </c>
      <c r="K309">
        <v>12.074999999999999</v>
      </c>
      <c r="L309">
        <v>49.710912700000002</v>
      </c>
      <c r="M309">
        <v>10.39338289</v>
      </c>
      <c r="N309">
        <v>-1.05</v>
      </c>
      <c r="O309">
        <v>-1.69</v>
      </c>
      <c r="P309" t="s">
        <v>217</v>
      </c>
      <c r="Q309" t="s">
        <v>217</v>
      </c>
      <c r="R309" t="s">
        <v>217</v>
      </c>
      <c r="S309" t="s">
        <v>217</v>
      </c>
      <c r="T309" t="s">
        <v>217</v>
      </c>
      <c r="U309" t="s">
        <v>217</v>
      </c>
      <c r="V309">
        <f t="shared" si="16"/>
        <v>20</v>
      </c>
      <c r="W309">
        <f t="shared" si="17"/>
        <v>110</v>
      </c>
      <c r="X309">
        <f t="shared" si="18"/>
        <v>2.8571428571428572</v>
      </c>
      <c r="Y309">
        <f t="shared" si="19"/>
        <v>15.714285714285714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0</v>
      </c>
      <c r="AJ309" s="1">
        <v>0</v>
      </c>
      <c r="AK309" s="1">
        <v>1</v>
      </c>
      <c r="AL309" s="1">
        <v>0</v>
      </c>
      <c r="AM309" s="1">
        <v>39</v>
      </c>
      <c r="AN309" s="1">
        <v>0</v>
      </c>
      <c r="AO309" s="1">
        <v>6</v>
      </c>
      <c r="AP309" s="1">
        <v>1</v>
      </c>
      <c r="AQ309" s="1">
        <v>0</v>
      </c>
      <c r="AR309" s="1">
        <v>0</v>
      </c>
      <c r="AS309" s="1">
        <v>0</v>
      </c>
      <c r="AT309" s="1">
        <v>1</v>
      </c>
      <c r="AU309" s="1">
        <v>0</v>
      </c>
      <c r="AV309" s="1">
        <v>0</v>
      </c>
      <c r="AW309" s="1">
        <v>1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1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5</v>
      </c>
      <c r="BZ309" s="1">
        <v>2</v>
      </c>
      <c r="CA309" s="1">
        <v>0</v>
      </c>
      <c r="CB309" s="1">
        <v>1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5</v>
      </c>
      <c r="CU309" s="1">
        <v>0</v>
      </c>
      <c r="CV309" s="1">
        <v>23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8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4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3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4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2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1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1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</row>
    <row r="310" spans="1:242" x14ac:dyDescent="0.25">
      <c r="A310">
        <v>16749</v>
      </c>
      <c r="B310">
        <v>9</v>
      </c>
      <c r="C310">
        <v>7</v>
      </c>
      <c r="D310" t="s">
        <v>229</v>
      </c>
      <c r="E310" t="s">
        <v>215</v>
      </c>
      <c r="F310">
        <v>5</v>
      </c>
      <c r="G310">
        <v>30.832333330000001</v>
      </c>
      <c r="H310">
        <v>10.442833329999999</v>
      </c>
      <c r="I310">
        <v>19.019693950000001</v>
      </c>
      <c r="J310">
        <v>88.474999999999994</v>
      </c>
      <c r="K310">
        <v>17.324999999999999</v>
      </c>
      <c r="L310">
        <v>54.650694440000002</v>
      </c>
      <c r="M310">
        <v>10.395539640000001</v>
      </c>
      <c r="N310">
        <v>0.30499999999999999</v>
      </c>
      <c r="O310">
        <v>-1.53</v>
      </c>
      <c r="P310" t="s">
        <v>217</v>
      </c>
      <c r="Q310" t="s">
        <v>217</v>
      </c>
      <c r="R310" t="s">
        <v>216</v>
      </c>
      <c r="S310" t="s">
        <v>217</v>
      </c>
      <c r="T310" t="s">
        <v>217</v>
      </c>
      <c r="U310" t="s">
        <v>216</v>
      </c>
      <c r="V310">
        <f t="shared" si="16"/>
        <v>8</v>
      </c>
      <c r="W310">
        <f t="shared" si="17"/>
        <v>43</v>
      </c>
      <c r="X310">
        <f t="shared" si="18"/>
        <v>1.1428571428571428</v>
      </c>
      <c r="Y310">
        <f t="shared" si="19"/>
        <v>6.1428571428571432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1</v>
      </c>
      <c r="AL310" s="1">
        <v>0</v>
      </c>
      <c r="AM310" s="1">
        <v>32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1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1</v>
      </c>
      <c r="BZ310" s="1">
        <v>0</v>
      </c>
      <c r="CA310" s="1">
        <v>0</v>
      </c>
      <c r="CB310" s="1">
        <v>0</v>
      </c>
      <c r="CC310" s="1">
        <v>0</v>
      </c>
      <c r="CD310" s="1">
        <v>1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2</v>
      </c>
      <c r="CU310" s="1">
        <v>0</v>
      </c>
      <c r="CV310" s="1">
        <v>1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4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</row>
    <row r="311" spans="1:242" x14ac:dyDescent="0.25">
      <c r="A311">
        <v>16755</v>
      </c>
      <c r="B311">
        <v>28</v>
      </c>
      <c r="C311">
        <v>7</v>
      </c>
      <c r="D311" t="s">
        <v>229</v>
      </c>
      <c r="E311" t="s">
        <v>215</v>
      </c>
      <c r="F311">
        <v>6</v>
      </c>
      <c r="G311">
        <v>36.009833329999999</v>
      </c>
      <c r="H311">
        <v>7.869916667</v>
      </c>
      <c r="I311">
        <v>18.892794640000002</v>
      </c>
      <c r="J311">
        <v>92.408333330000005</v>
      </c>
      <c r="K311">
        <v>12.05</v>
      </c>
      <c r="L311">
        <v>53.685863099999999</v>
      </c>
      <c r="M311">
        <v>10.39384693</v>
      </c>
      <c r="N311">
        <v>0.26700000000000002</v>
      </c>
      <c r="O311">
        <v>-2</v>
      </c>
      <c r="P311" t="s">
        <v>216</v>
      </c>
      <c r="Q311" t="s">
        <v>217</v>
      </c>
      <c r="R311" t="s">
        <v>217</v>
      </c>
      <c r="S311" t="s">
        <v>217</v>
      </c>
      <c r="T311" t="s">
        <v>217</v>
      </c>
      <c r="U311" t="s">
        <v>216</v>
      </c>
      <c r="V311">
        <f t="shared" si="16"/>
        <v>33</v>
      </c>
      <c r="W311">
        <f t="shared" si="17"/>
        <v>285</v>
      </c>
      <c r="X311">
        <f t="shared" si="18"/>
        <v>4.7142857142857144</v>
      </c>
      <c r="Y311">
        <f t="shared" si="19"/>
        <v>40.714285714285715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3</v>
      </c>
      <c r="AI311" s="1">
        <v>0</v>
      </c>
      <c r="AJ311" s="1">
        <v>0</v>
      </c>
      <c r="AK311" s="1">
        <v>0</v>
      </c>
      <c r="AL311" s="1">
        <v>0</v>
      </c>
      <c r="AM311" s="1">
        <v>29</v>
      </c>
      <c r="AN311" s="1">
        <v>0</v>
      </c>
      <c r="AO311" s="1">
        <v>8</v>
      </c>
      <c r="AP311" s="1">
        <v>6</v>
      </c>
      <c r="AQ311" s="1">
        <v>0</v>
      </c>
      <c r="AR311" s="1">
        <v>0</v>
      </c>
      <c r="AS311" s="1">
        <v>0</v>
      </c>
      <c r="AT311" s="1">
        <v>2</v>
      </c>
      <c r="AU311" s="1">
        <v>0</v>
      </c>
      <c r="AV311" s="1">
        <v>0</v>
      </c>
      <c r="AW311" s="1">
        <v>0</v>
      </c>
      <c r="AX311" s="1">
        <v>2</v>
      </c>
      <c r="AY311" s="1">
        <v>0</v>
      </c>
      <c r="AZ311" s="1">
        <v>0</v>
      </c>
      <c r="BA311" s="1">
        <v>2</v>
      </c>
      <c r="BB311" s="1">
        <v>3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6</v>
      </c>
      <c r="BM311" s="1">
        <v>1</v>
      </c>
      <c r="BN311" s="1">
        <v>0</v>
      </c>
      <c r="BO311" s="1">
        <v>2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1</v>
      </c>
      <c r="BV311" s="1">
        <v>0</v>
      </c>
      <c r="BW311" s="1">
        <v>0</v>
      </c>
      <c r="BX311" s="1">
        <v>0</v>
      </c>
      <c r="BY311" s="1">
        <v>2</v>
      </c>
      <c r="BZ311" s="1">
        <v>7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11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2</v>
      </c>
      <c r="CO311" s="1">
        <v>2</v>
      </c>
      <c r="CP311" s="1">
        <v>0</v>
      </c>
      <c r="CQ311" s="1">
        <v>0</v>
      </c>
      <c r="CR311" s="1">
        <v>0</v>
      </c>
      <c r="CS311" s="1">
        <v>0</v>
      </c>
      <c r="CT311" s="1">
        <v>8</v>
      </c>
      <c r="CU311" s="1">
        <v>0</v>
      </c>
      <c r="CV311" s="1">
        <v>62</v>
      </c>
      <c r="CW311" s="1">
        <v>1</v>
      </c>
      <c r="CX311" s="1">
        <v>0</v>
      </c>
      <c r="CY311" s="1">
        <v>0</v>
      </c>
      <c r="CZ311" s="1">
        <v>0</v>
      </c>
      <c r="DA311" s="1">
        <v>0</v>
      </c>
      <c r="DB311" s="1">
        <v>47</v>
      </c>
      <c r="DC311" s="1">
        <v>1</v>
      </c>
      <c r="DD311" s="1">
        <v>0</v>
      </c>
      <c r="DE311" s="1">
        <v>0</v>
      </c>
      <c r="DF311" s="1">
        <v>0</v>
      </c>
      <c r="DG311" s="1">
        <v>1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8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2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21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8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1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1</v>
      </c>
      <c r="FH311" s="1">
        <v>1</v>
      </c>
      <c r="FI311" s="1">
        <v>0</v>
      </c>
      <c r="FJ311" s="1">
        <v>0</v>
      </c>
      <c r="FK311" s="1">
        <v>0</v>
      </c>
      <c r="FL311" s="1">
        <v>0</v>
      </c>
      <c r="FM311" s="1">
        <v>4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4</v>
      </c>
      <c r="IG311">
        <v>0</v>
      </c>
      <c r="IH311">
        <v>26</v>
      </c>
    </row>
    <row r="312" spans="1:242" x14ac:dyDescent="0.25">
      <c r="A312">
        <v>16762</v>
      </c>
      <c r="B312">
        <v>30</v>
      </c>
      <c r="C312">
        <v>7</v>
      </c>
      <c r="D312" t="s">
        <v>229</v>
      </c>
      <c r="E312" t="s">
        <v>215</v>
      </c>
      <c r="F312">
        <v>3</v>
      </c>
      <c r="G312">
        <v>32.351333330000003</v>
      </c>
      <c r="H312">
        <v>14.794499999999999</v>
      </c>
      <c r="I312">
        <v>21.346266369999999</v>
      </c>
      <c r="J312">
        <v>92.016666670000006</v>
      </c>
      <c r="K312">
        <v>12.41666667</v>
      </c>
      <c r="L312">
        <v>41.788640870000002</v>
      </c>
      <c r="M312">
        <v>10.39407031</v>
      </c>
      <c r="N312">
        <v>1.21</v>
      </c>
      <c r="O312">
        <v>-1.58</v>
      </c>
      <c r="P312" t="s">
        <v>217</v>
      </c>
      <c r="Q312" t="s">
        <v>217</v>
      </c>
      <c r="R312" t="s">
        <v>217</v>
      </c>
      <c r="S312" t="s">
        <v>216</v>
      </c>
      <c r="T312" t="s">
        <v>217</v>
      </c>
      <c r="U312" t="s">
        <v>217</v>
      </c>
      <c r="V312">
        <f t="shared" si="16"/>
        <v>34</v>
      </c>
      <c r="W312">
        <f t="shared" si="17"/>
        <v>349</v>
      </c>
      <c r="X312">
        <f t="shared" si="18"/>
        <v>4.8571428571428568</v>
      </c>
      <c r="Y312">
        <f t="shared" si="19"/>
        <v>49.857142857142854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1</v>
      </c>
      <c r="AJ312" s="1">
        <v>1</v>
      </c>
      <c r="AK312" s="1">
        <v>4</v>
      </c>
      <c r="AL312" s="1">
        <v>0</v>
      </c>
      <c r="AM312" s="1">
        <v>176</v>
      </c>
      <c r="AN312" s="1">
        <v>0</v>
      </c>
      <c r="AO312" s="1">
        <v>2</v>
      </c>
      <c r="AP312" s="1">
        <v>0</v>
      </c>
      <c r="AQ312" s="1">
        <v>1</v>
      </c>
      <c r="AR312" s="1">
        <v>2</v>
      </c>
      <c r="AS312" s="1">
        <v>0</v>
      </c>
      <c r="AT312" s="1">
        <v>3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2</v>
      </c>
      <c r="BA312" s="1">
        <v>0</v>
      </c>
      <c r="BB312" s="1">
        <v>1</v>
      </c>
      <c r="BC312" s="1">
        <v>0</v>
      </c>
      <c r="BD312" s="1">
        <v>0</v>
      </c>
      <c r="BE312" s="1">
        <v>2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4</v>
      </c>
      <c r="BM312" s="1">
        <v>5</v>
      </c>
      <c r="BN312" s="1">
        <v>1</v>
      </c>
      <c r="BO312" s="1">
        <v>7</v>
      </c>
      <c r="BP312" s="1">
        <v>0</v>
      </c>
      <c r="BQ312" s="1">
        <v>1</v>
      </c>
      <c r="BR312" s="1">
        <v>0</v>
      </c>
      <c r="BS312" s="1">
        <v>7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2</v>
      </c>
      <c r="BZ312" s="1">
        <v>13</v>
      </c>
      <c r="CA312" s="1">
        <v>0</v>
      </c>
      <c r="CB312" s="1">
        <v>1</v>
      </c>
      <c r="CC312" s="1">
        <v>0</v>
      </c>
      <c r="CD312" s="1">
        <v>4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12</v>
      </c>
      <c r="CS312" s="1">
        <v>0</v>
      </c>
      <c r="CT312" s="1">
        <v>7</v>
      </c>
      <c r="CU312" s="1">
        <v>0</v>
      </c>
      <c r="CV312" s="1">
        <v>33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6</v>
      </c>
      <c r="DC312" s="1">
        <v>0</v>
      </c>
      <c r="DD312" s="1">
        <v>0</v>
      </c>
      <c r="DE312" s="1">
        <v>0</v>
      </c>
      <c r="DF312" s="1">
        <v>1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5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2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3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6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1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17</v>
      </c>
      <c r="IG312">
        <v>0</v>
      </c>
      <c r="IH312">
        <v>15</v>
      </c>
    </row>
    <row r="313" spans="1:242" x14ac:dyDescent="0.25">
      <c r="A313">
        <v>16764</v>
      </c>
      <c r="B313">
        <v>21</v>
      </c>
      <c r="C313">
        <v>7</v>
      </c>
      <c r="D313" t="s">
        <v>228</v>
      </c>
      <c r="E313" t="s">
        <v>215</v>
      </c>
      <c r="F313">
        <v>5</v>
      </c>
      <c r="G313">
        <v>38.161666670000002</v>
      </c>
      <c r="H313">
        <v>14.112</v>
      </c>
      <c r="I313">
        <v>24.234728669999999</v>
      </c>
      <c r="J313">
        <v>91.441666670000004</v>
      </c>
      <c r="K313">
        <v>10.8</v>
      </c>
      <c r="L313">
        <v>45.462869769999998</v>
      </c>
      <c r="M313">
        <v>11.49039408</v>
      </c>
      <c r="N313">
        <v>2.31</v>
      </c>
      <c r="O313">
        <v>-1.29</v>
      </c>
      <c r="P313" t="s">
        <v>217</v>
      </c>
      <c r="Q313" t="s">
        <v>217</v>
      </c>
      <c r="R313" t="s">
        <v>217</v>
      </c>
      <c r="S313" t="s">
        <v>217</v>
      </c>
      <c r="T313" t="s">
        <v>217</v>
      </c>
      <c r="U313" t="s">
        <v>217</v>
      </c>
      <c r="V313">
        <f t="shared" si="16"/>
        <v>1</v>
      </c>
      <c r="W313">
        <f t="shared" si="17"/>
        <v>7</v>
      </c>
      <c r="X313">
        <f t="shared" si="18"/>
        <v>0.14285714285714285</v>
      </c>
      <c r="Y313">
        <f t="shared" si="19"/>
        <v>1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7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</row>
    <row r="314" spans="1:242" x14ac:dyDescent="0.25">
      <c r="A314">
        <v>16769</v>
      </c>
      <c r="B314">
        <v>21</v>
      </c>
      <c r="C314">
        <v>7</v>
      </c>
      <c r="D314" t="s">
        <v>229</v>
      </c>
      <c r="E314" t="s">
        <v>215</v>
      </c>
      <c r="F314">
        <v>5</v>
      </c>
      <c r="G314">
        <v>32.721416670000004</v>
      </c>
      <c r="H314">
        <v>8.4644999999999992</v>
      </c>
      <c r="I314">
        <v>18.597116570000001</v>
      </c>
      <c r="J314">
        <v>92.325000000000003</v>
      </c>
      <c r="K314">
        <v>15.775</v>
      </c>
      <c r="L314">
        <v>55.831498019999998</v>
      </c>
      <c r="M314">
        <v>10.391174250000001</v>
      </c>
      <c r="N314">
        <v>-0.14699999999999999</v>
      </c>
      <c r="O314">
        <v>-1.64</v>
      </c>
      <c r="P314" t="s">
        <v>217</v>
      </c>
      <c r="Q314" t="s">
        <v>217</v>
      </c>
      <c r="R314" t="s">
        <v>217</v>
      </c>
      <c r="S314" t="s">
        <v>217</v>
      </c>
      <c r="T314" t="s">
        <v>217</v>
      </c>
      <c r="U314" t="s">
        <v>217</v>
      </c>
      <c r="V314">
        <f t="shared" si="16"/>
        <v>10</v>
      </c>
      <c r="W314">
        <f t="shared" si="17"/>
        <v>112</v>
      </c>
      <c r="X314">
        <f t="shared" si="18"/>
        <v>1.4285714285714286</v>
      </c>
      <c r="Y314">
        <f t="shared" si="19"/>
        <v>16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72</v>
      </c>
      <c r="AN314" s="1">
        <v>1</v>
      </c>
      <c r="AO314" s="1">
        <v>0</v>
      </c>
      <c r="AP314" s="1">
        <v>0</v>
      </c>
      <c r="AQ314" s="1">
        <v>0</v>
      </c>
      <c r="AR314" s="1">
        <v>1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1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1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7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1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26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1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1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</row>
    <row r="315" spans="1:242" x14ac:dyDescent="0.25">
      <c r="A315">
        <v>16774</v>
      </c>
      <c r="B315">
        <v>3</v>
      </c>
      <c r="C315">
        <v>7</v>
      </c>
      <c r="D315" t="s">
        <v>229</v>
      </c>
      <c r="E315" t="s">
        <v>215</v>
      </c>
      <c r="F315">
        <v>9</v>
      </c>
      <c r="G315">
        <v>34.298083329999997</v>
      </c>
      <c r="H315">
        <v>12.09783333</v>
      </c>
      <c r="I315">
        <v>20.337914189999999</v>
      </c>
      <c r="J315">
        <v>97.241666670000001</v>
      </c>
      <c r="K315">
        <v>12.95</v>
      </c>
      <c r="L315">
        <v>53.287003970000001</v>
      </c>
      <c r="M315">
        <v>10.399991829999999</v>
      </c>
      <c r="N315">
        <v>0.191</v>
      </c>
      <c r="O315">
        <v>-1.19</v>
      </c>
      <c r="P315" t="s">
        <v>216</v>
      </c>
      <c r="Q315" t="s">
        <v>217</v>
      </c>
      <c r="R315" t="s">
        <v>217</v>
      </c>
      <c r="S315" t="s">
        <v>217</v>
      </c>
      <c r="T315" t="s">
        <v>217</v>
      </c>
      <c r="U315" t="s">
        <v>216</v>
      </c>
      <c r="V315">
        <f t="shared" si="16"/>
        <v>22</v>
      </c>
      <c r="W315">
        <f t="shared" si="17"/>
        <v>82</v>
      </c>
      <c r="X315">
        <f t="shared" si="18"/>
        <v>3.1428571428571428</v>
      </c>
      <c r="Y315">
        <f t="shared" si="19"/>
        <v>11.714285714285714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3</v>
      </c>
      <c r="AL315" s="1">
        <v>0</v>
      </c>
      <c r="AM315" s="1">
        <v>34</v>
      </c>
      <c r="AN315" s="1">
        <v>0</v>
      </c>
      <c r="AO315" s="1">
        <v>0</v>
      </c>
      <c r="AP315" s="1">
        <v>1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1</v>
      </c>
      <c r="AY315" s="1">
        <v>0</v>
      </c>
      <c r="AZ315" s="1">
        <v>0</v>
      </c>
      <c r="BA315" s="1">
        <v>1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6</v>
      </c>
      <c r="BN315" s="1">
        <v>0</v>
      </c>
      <c r="BO315" s="1">
        <v>1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1</v>
      </c>
      <c r="BX315" s="1">
        <v>0</v>
      </c>
      <c r="BY315" s="1">
        <v>1</v>
      </c>
      <c r="BZ315" s="1">
        <v>1</v>
      </c>
      <c r="CA315" s="1">
        <v>2</v>
      </c>
      <c r="CB315" s="1">
        <v>0</v>
      </c>
      <c r="CC315" s="1">
        <v>0</v>
      </c>
      <c r="CD315" s="1">
        <v>3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1</v>
      </c>
      <c r="CP315" s="1">
        <v>0</v>
      </c>
      <c r="CQ315" s="1">
        <v>0</v>
      </c>
      <c r="CR315" s="1">
        <v>0</v>
      </c>
      <c r="CS315" s="1">
        <v>0</v>
      </c>
      <c r="CT315" s="1">
        <v>2</v>
      </c>
      <c r="CU315" s="1">
        <v>0</v>
      </c>
      <c r="CV315" s="1">
        <v>9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6</v>
      </c>
      <c r="DC315" s="1">
        <v>1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1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4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1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1</v>
      </c>
      <c r="IG315">
        <v>0</v>
      </c>
      <c r="IH315">
        <v>1</v>
      </c>
    </row>
    <row r="316" spans="1:242" x14ac:dyDescent="0.25">
      <c r="A316">
        <v>16779</v>
      </c>
      <c r="B316">
        <v>15</v>
      </c>
      <c r="C316">
        <v>7</v>
      </c>
      <c r="D316" t="s">
        <v>229</v>
      </c>
      <c r="E316" t="s">
        <v>215</v>
      </c>
      <c r="F316">
        <v>9</v>
      </c>
      <c r="G316">
        <v>33.954166669999999</v>
      </c>
      <c r="H316">
        <v>9.0766666669999996</v>
      </c>
      <c r="I316">
        <v>19.092952879999999</v>
      </c>
      <c r="J316">
        <v>95.183333329999996</v>
      </c>
      <c r="K316">
        <v>16.391666669999999</v>
      </c>
      <c r="L316">
        <v>65.321726190000007</v>
      </c>
      <c r="M316">
        <v>10.410216180000001</v>
      </c>
      <c r="N316">
        <v>-0.435</v>
      </c>
      <c r="O316">
        <v>-0.99399999999999999</v>
      </c>
      <c r="P316" t="s">
        <v>216</v>
      </c>
      <c r="Q316" t="s">
        <v>217</v>
      </c>
      <c r="R316" t="s">
        <v>217</v>
      </c>
      <c r="S316" t="s">
        <v>217</v>
      </c>
      <c r="T316" t="s">
        <v>217</v>
      </c>
      <c r="U316" t="s">
        <v>216</v>
      </c>
      <c r="V316">
        <f t="shared" si="16"/>
        <v>20</v>
      </c>
      <c r="W316">
        <f t="shared" si="17"/>
        <v>152</v>
      </c>
      <c r="X316">
        <f t="shared" si="18"/>
        <v>2.8571428571428572</v>
      </c>
      <c r="Y316">
        <f t="shared" si="19"/>
        <v>21.714285714285715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3</v>
      </c>
      <c r="AI316" s="1">
        <v>0</v>
      </c>
      <c r="AJ316" s="1">
        <v>0</v>
      </c>
      <c r="AK316" s="1">
        <v>0</v>
      </c>
      <c r="AL316" s="1">
        <v>0</v>
      </c>
      <c r="AM316" s="1">
        <v>48</v>
      </c>
      <c r="AN316" s="1">
        <v>0</v>
      </c>
      <c r="AO316" s="1">
        <v>0</v>
      </c>
      <c r="AP316" s="1">
        <v>2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1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11</v>
      </c>
      <c r="CA316" s="1">
        <v>0</v>
      </c>
      <c r="CB316" s="1">
        <v>1</v>
      </c>
      <c r="CC316" s="1">
        <v>0</v>
      </c>
      <c r="CD316" s="1">
        <v>8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4</v>
      </c>
      <c r="CO316" s="1">
        <v>0</v>
      </c>
      <c r="CP316" s="1">
        <v>0</v>
      </c>
      <c r="CQ316" s="1">
        <v>0</v>
      </c>
      <c r="CR316" s="1">
        <v>2</v>
      </c>
      <c r="CS316" s="1">
        <v>0</v>
      </c>
      <c r="CT316" s="1">
        <v>10</v>
      </c>
      <c r="CU316" s="1">
        <v>0</v>
      </c>
      <c r="CV316" s="1">
        <v>3</v>
      </c>
      <c r="CW316" s="1">
        <v>12</v>
      </c>
      <c r="CX316" s="1">
        <v>0</v>
      </c>
      <c r="CY316" s="1">
        <v>0</v>
      </c>
      <c r="CZ316" s="1">
        <v>0</v>
      </c>
      <c r="DA316" s="1">
        <v>0</v>
      </c>
      <c r="DB316" s="1">
        <v>6</v>
      </c>
      <c r="DC316" s="1">
        <v>1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9</v>
      </c>
      <c r="DP316" s="1">
        <v>1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25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3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1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1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</row>
    <row r="317" spans="1:242" x14ac:dyDescent="0.25">
      <c r="A317">
        <v>16786</v>
      </c>
      <c r="B317">
        <v>29</v>
      </c>
      <c r="C317">
        <v>14</v>
      </c>
      <c r="D317" t="s">
        <v>229</v>
      </c>
      <c r="E317" t="s">
        <v>215</v>
      </c>
      <c r="F317">
        <v>3</v>
      </c>
      <c r="G317">
        <v>34.70675</v>
      </c>
      <c r="H317">
        <v>13.755333329999999</v>
      </c>
      <c r="I317">
        <v>21.032844740000002</v>
      </c>
      <c r="J317">
        <v>91.974999999999994</v>
      </c>
      <c r="K317">
        <v>11.025</v>
      </c>
      <c r="L317">
        <v>42.221279760000002</v>
      </c>
      <c r="M317">
        <v>10.39423214</v>
      </c>
      <c r="N317">
        <v>1.32</v>
      </c>
      <c r="O317">
        <v>-1.79</v>
      </c>
      <c r="P317" t="s">
        <v>217</v>
      </c>
      <c r="Q317" t="s">
        <v>217</v>
      </c>
      <c r="R317" t="s">
        <v>217</v>
      </c>
      <c r="S317" t="s">
        <v>217</v>
      </c>
      <c r="T317" t="s">
        <v>217</v>
      </c>
      <c r="U317" t="s">
        <v>217</v>
      </c>
      <c r="V317">
        <f t="shared" si="16"/>
        <v>25</v>
      </c>
      <c r="W317">
        <f t="shared" si="17"/>
        <v>160</v>
      </c>
      <c r="X317">
        <f t="shared" si="18"/>
        <v>1.7857142857142858</v>
      </c>
      <c r="Y317">
        <f t="shared" si="19"/>
        <v>11.428571428571429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2</v>
      </c>
      <c r="AI317" s="1">
        <v>0</v>
      </c>
      <c r="AJ317" s="1">
        <v>0</v>
      </c>
      <c r="AK317" s="1">
        <v>0</v>
      </c>
      <c r="AL317" s="1">
        <v>0</v>
      </c>
      <c r="AM317" s="1">
        <v>27</v>
      </c>
      <c r="AN317" s="1">
        <v>0</v>
      </c>
      <c r="AO317" s="1">
        <v>4</v>
      </c>
      <c r="AP317" s="1">
        <v>1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11</v>
      </c>
      <c r="AY317" s="1">
        <v>0</v>
      </c>
      <c r="AZ317" s="1">
        <v>0</v>
      </c>
      <c r="BA317" s="1">
        <v>0</v>
      </c>
      <c r="BB317" s="1">
        <v>4</v>
      </c>
      <c r="BC317" s="1">
        <v>0</v>
      </c>
      <c r="BD317" s="1">
        <v>0</v>
      </c>
      <c r="BE317" s="1">
        <v>0</v>
      </c>
      <c r="BF317" s="1">
        <v>3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2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2</v>
      </c>
      <c r="BZ317" s="1">
        <v>1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1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7</v>
      </c>
      <c r="CS317" s="1">
        <v>0</v>
      </c>
      <c r="CT317" s="1">
        <v>1</v>
      </c>
      <c r="CU317" s="1">
        <v>0</v>
      </c>
      <c r="CV317" s="1">
        <v>35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1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1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6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2</v>
      </c>
      <c r="EK317" s="1">
        <v>10</v>
      </c>
      <c r="EL317" s="1">
        <v>1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19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8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3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1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7</v>
      </c>
      <c r="IG317">
        <v>0</v>
      </c>
      <c r="IH317">
        <v>0</v>
      </c>
    </row>
    <row r="318" spans="1:242" x14ac:dyDescent="0.25">
      <c r="A318">
        <v>16788</v>
      </c>
      <c r="B318">
        <v>1</v>
      </c>
      <c r="C318">
        <v>7</v>
      </c>
      <c r="D318" t="s">
        <v>230</v>
      </c>
      <c r="E318" t="s">
        <v>215</v>
      </c>
      <c r="F318">
        <v>9</v>
      </c>
      <c r="G318">
        <v>26.15025</v>
      </c>
      <c r="H318">
        <v>11.54616667</v>
      </c>
      <c r="I318">
        <v>16.853119540000002</v>
      </c>
      <c r="J318">
        <v>100</v>
      </c>
      <c r="K318">
        <v>37.591666670000002</v>
      </c>
      <c r="L318">
        <v>83.45352183</v>
      </c>
      <c r="M318">
        <v>9.9132902729999994</v>
      </c>
      <c r="N318">
        <v>-2.63</v>
      </c>
      <c r="O318">
        <v>1.17</v>
      </c>
      <c r="P318" t="s">
        <v>216</v>
      </c>
      <c r="Q318" t="s">
        <v>216</v>
      </c>
      <c r="R318" t="s">
        <v>216</v>
      </c>
      <c r="S318" t="s">
        <v>216</v>
      </c>
      <c r="T318" t="s">
        <v>216</v>
      </c>
      <c r="U318" t="s">
        <v>216</v>
      </c>
      <c r="V318">
        <f t="shared" si="16"/>
        <v>1</v>
      </c>
      <c r="W318">
        <f t="shared" si="17"/>
        <v>1</v>
      </c>
      <c r="X318">
        <f t="shared" si="18"/>
        <v>0.14285714285714285</v>
      </c>
      <c r="Y318">
        <f t="shared" si="19"/>
        <v>0.14285714285714285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1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</row>
    <row r="319" spans="1:242" x14ac:dyDescent="0.25">
      <c r="A319">
        <v>16790</v>
      </c>
      <c r="B319">
        <v>25</v>
      </c>
      <c r="C319">
        <v>7</v>
      </c>
      <c r="D319" t="s">
        <v>229</v>
      </c>
      <c r="E319" t="s">
        <v>215</v>
      </c>
      <c r="F319">
        <v>8</v>
      </c>
      <c r="G319">
        <v>31.823250000000002</v>
      </c>
      <c r="H319">
        <v>14.243083329999999</v>
      </c>
      <c r="I319">
        <v>20.84032341</v>
      </c>
      <c r="J319">
        <v>92.724999999999994</v>
      </c>
      <c r="K319">
        <v>17.55833333</v>
      </c>
      <c r="L319">
        <v>51.782291669999999</v>
      </c>
      <c r="M319">
        <v>10.399202389999999</v>
      </c>
      <c r="N319">
        <v>0.64200000000000002</v>
      </c>
      <c r="O319">
        <v>-0.95</v>
      </c>
      <c r="P319" t="s">
        <v>217</v>
      </c>
      <c r="Q319" t="s">
        <v>216</v>
      </c>
      <c r="R319" t="s">
        <v>216</v>
      </c>
      <c r="S319" t="s">
        <v>217</v>
      </c>
      <c r="T319" t="s">
        <v>217</v>
      </c>
      <c r="U319" t="s">
        <v>216</v>
      </c>
      <c r="V319">
        <f t="shared" si="16"/>
        <v>21</v>
      </c>
      <c r="W319">
        <f t="shared" si="17"/>
        <v>74</v>
      </c>
      <c r="X319">
        <f t="shared" si="18"/>
        <v>3</v>
      </c>
      <c r="Y319">
        <f t="shared" si="19"/>
        <v>10.571428571428571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14</v>
      </c>
      <c r="AG319" s="1">
        <v>0</v>
      </c>
      <c r="AH319" s="1">
        <v>0</v>
      </c>
      <c r="AI319" s="1">
        <v>0</v>
      </c>
      <c r="AJ319" s="1">
        <v>0</v>
      </c>
      <c r="AK319" s="1">
        <v>1</v>
      </c>
      <c r="AL319" s="1">
        <v>0</v>
      </c>
      <c r="AM319" s="1">
        <v>6</v>
      </c>
      <c r="AN319" s="1">
        <v>0</v>
      </c>
      <c r="AO319" s="1">
        <v>2</v>
      </c>
      <c r="AP319" s="1">
        <v>1</v>
      </c>
      <c r="AQ319" s="1">
        <v>0</v>
      </c>
      <c r="AR319" s="1">
        <v>1</v>
      </c>
      <c r="AS319" s="1">
        <v>0</v>
      </c>
      <c r="AT319" s="1">
        <v>0</v>
      </c>
      <c r="AU319" s="1">
        <v>0</v>
      </c>
      <c r="AV319" s="1">
        <v>0</v>
      </c>
      <c r="AW319" s="1">
        <v>1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1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2</v>
      </c>
      <c r="CA319" s="1">
        <v>3</v>
      </c>
      <c r="CB319" s="1">
        <v>0</v>
      </c>
      <c r="CC319" s="1">
        <v>0</v>
      </c>
      <c r="CD319" s="1">
        <v>0</v>
      </c>
      <c r="CE319" s="1">
        <v>1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1</v>
      </c>
      <c r="CO319" s="1">
        <v>1</v>
      </c>
      <c r="CP319" s="1">
        <v>0</v>
      </c>
      <c r="CQ319" s="1">
        <v>0</v>
      </c>
      <c r="CR319" s="1">
        <v>1</v>
      </c>
      <c r="CS319" s="1">
        <v>0</v>
      </c>
      <c r="CT319" s="1">
        <v>6</v>
      </c>
      <c r="CU319" s="1">
        <v>0</v>
      </c>
      <c r="CV319" s="1">
        <v>11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13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1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1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5</v>
      </c>
      <c r="FA319" s="1">
        <v>0</v>
      </c>
      <c r="FB319" s="1">
        <v>0</v>
      </c>
      <c r="FC319" s="1">
        <v>1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</row>
    <row r="320" spans="1:242" x14ac:dyDescent="0.25">
      <c r="A320">
        <v>16793</v>
      </c>
      <c r="B320">
        <v>25</v>
      </c>
      <c r="C320">
        <v>14</v>
      </c>
      <c r="D320" t="s">
        <v>230</v>
      </c>
      <c r="E320" t="s">
        <v>215</v>
      </c>
      <c r="F320">
        <v>8</v>
      </c>
      <c r="G320">
        <v>25.093166669999999</v>
      </c>
      <c r="H320">
        <v>13.303000000000001</v>
      </c>
      <c r="I320">
        <v>17.63296974</v>
      </c>
      <c r="J320">
        <v>98.033333330000005</v>
      </c>
      <c r="K320">
        <v>41.416666669999998</v>
      </c>
      <c r="L320">
        <v>77.538938490000007</v>
      </c>
      <c r="M320">
        <v>9.9108656180000008</v>
      </c>
      <c r="N320">
        <v>-2.17</v>
      </c>
      <c r="O320">
        <v>1.26</v>
      </c>
      <c r="P320" t="s">
        <v>217</v>
      </c>
      <c r="Q320" t="s">
        <v>216</v>
      </c>
      <c r="R320" t="s">
        <v>216</v>
      </c>
      <c r="S320" t="s">
        <v>217</v>
      </c>
      <c r="T320" t="s">
        <v>217</v>
      </c>
      <c r="U320" t="s">
        <v>216</v>
      </c>
      <c r="V320">
        <f t="shared" si="16"/>
        <v>24</v>
      </c>
      <c r="W320">
        <f t="shared" si="17"/>
        <v>324</v>
      </c>
      <c r="X320">
        <f t="shared" si="18"/>
        <v>1.7142857142857142</v>
      </c>
      <c r="Y320">
        <f t="shared" si="19"/>
        <v>23.142857142857142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117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61</v>
      </c>
      <c r="AN320" s="1">
        <v>0</v>
      </c>
      <c r="AO320" s="1">
        <v>0</v>
      </c>
      <c r="AP320" s="1">
        <v>1</v>
      </c>
      <c r="AQ320" s="1">
        <v>3</v>
      </c>
      <c r="AR320" s="1">
        <v>0</v>
      </c>
      <c r="AS320" s="1">
        <v>1</v>
      </c>
      <c r="AT320" s="1">
        <v>0</v>
      </c>
      <c r="AU320" s="1">
        <v>0</v>
      </c>
      <c r="AV320" s="1">
        <v>0</v>
      </c>
      <c r="AW320" s="1">
        <v>0</v>
      </c>
      <c r="AX320" s="1">
        <v>1</v>
      </c>
      <c r="AY320" s="1">
        <v>0</v>
      </c>
      <c r="AZ320" s="1">
        <v>0</v>
      </c>
      <c r="BA320" s="1">
        <v>2</v>
      </c>
      <c r="BB320" s="1">
        <v>0</v>
      </c>
      <c r="BC320" s="1">
        <v>0</v>
      </c>
      <c r="BD320" s="1">
        <v>0</v>
      </c>
      <c r="BE320" s="1">
        <v>9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3</v>
      </c>
      <c r="BM320" s="1">
        <v>2</v>
      </c>
      <c r="BN320" s="1">
        <v>0</v>
      </c>
      <c r="BO320" s="1">
        <v>1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1</v>
      </c>
      <c r="BX320" s="1">
        <v>0</v>
      </c>
      <c r="BY320" s="1">
        <v>0</v>
      </c>
      <c r="BZ320" s="1">
        <v>6</v>
      </c>
      <c r="CA320" s="1">
        <v>17</v>
      </c>
      <c r="CB320" s="1">
        <v>2</v>
      </c>
      <c r="CC320" s="1">
        <v>0</v>
      </c>
      <c r="CD320" s="1">
        <v>2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2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1</v>
      </c>
      <c r="CS320" s="1">
        <v>0</v>
      </c>
      <c r="CT320" s="1">
        <v>6</v>
      </c>
      <c r="CU320" s="1">
        <v>0</v>
      </c>
      <c r="CV320" s="1">
        <v>7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71</v>
      </c>
      <c r="DC320" s="1">
        <v>1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1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6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</row>
    <row r="321" spans="1:242" x14ac:dyDescent="0.25">
      <c r="A321">
        <v>16796</v>
      </c>
      <c r="B321">
        <v>5</v>
      </c>
      <c r="C321">
        <v>7</v>
      </c>
      <c r="D321" t="s">
        <v>229</v>
      </c>
      <c r="E321" t="s">
        <v>215</v>
      </c>
      <c r="F321">
        <v>3</v>
      </c>
      <c r="G321">
        <v>34.112333329999998</v>
      </c>
      <c r="H321">
        <v>13.11633333</v>
      </c>
      <c r="I321">
        <v>20.879519349999999</v>
      </c>
      <c r="J321">
        <v>89.875</v>
      </c>
      <c r="K321">
        <v>13.516666669999999</v>
      </c>
      <c r="L321">
        <v>47.481597219999998</v>
      </c>
      <c r="M321">
        <v>10.396173340000001</v>
      </c>
      <c r="N321">
        <v>1.23</v>
      </c>
      <c r="O321">
        <v>-1.62</v>
      </c>
      <c r="P321" t="s">
        <v>216</v>
      </c>
      <c r="Q321" t="s">
        <v>216</v>
      </c>
      <c r="R321" t="s">
        <v>216</v>
      </c>
      <c r="S321" t="s">
        <v>217</v>
      </c>
      <c r="T321" t="s">
        <v>217</v>
      </c>
      <c r="U321" t="s">
        <v>216</v>
      </c>
      <c r="V321">
        <f t="shared" si="16"/>
        <v>13</v>
      </c>
      <c r="W321">
        <f t="shared" si="17"/>
        <v>31</v>
      </c>
      <c r="X321">
        <f t="shared" si="18"/>
        <v>1.8571428571428572</v>
      </c>
      <c r="Y321">
        <f t="shared" si="19"/>
        <v>4.4285714285714288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2</v>
      </c>
      <c r="AN321" s="1">
        <v>0</v>
      </c>
      <c r="AO321" s="1">
        <v>2</v>
      </c>
      <c r="AP321" s="1">
        <v>0</v>
      </c>
      <c r="AQ321" s="1">
        <v>0</v>
      </c>
      <c r="AR321" s="1">
        <v>1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3</v>
      </c>
      <c r="BM321" s="1">
        <v>2</v>
      </c>
      <c r="BN321" s="1">
        <v>0</v>
      </c>
      <c r="BO321" s="1">
        <v>1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1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1</v>
      </c>
      <c r="CU321" s="1">
        <v>0</v>
      </c>
      <c r="CV321" s="1">
        <v>6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2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8</v>
      </c>
      <c r="IG321">
        <v>0</v>
      </c>
      <c r="IH321">
        <v>0</v>
      </c>
    </row>
    <row r="322" spans="1:242" x14ac:dyDescent="0.25">
      <c r="A322">
        <v>16801</v>
      </c>
      <c r="B322">
        <v>20</v>
      </c>
      <c r="C322">
        <v>7</v>
      </c>
      <c r="D322" t="s">
        <v>229</v>
      </c>
      <c r="E322" t="s">
        <v>215</v>
      </c>
      <c r="F322">
        <v>4</v>
      </c>
      <c r="G322">
        <v>32.615833330000001</v>
      </c>
      <c r="H322">
        <v>13.59775</v>
      </c>
      <c r="I322">
        <v>20.154959819999998</v>
      </c>
      <c r="J322">
        <v>87.125</v>
      </c>
      <c r="K322">
        <v>13.56666667</v>
      </c>
      <c r="L322">
        <v>48.626488100000003</v>
      </c>
      <c r="M322">
        <v>10.39491123</v>
      </c>
      <c r="N322">
        <v>1.28</v>
      </c>
      <c r="O322">
        <v>-1.67</v>
      </c>
      <c r="P322" t="s">
        <v>216</v>
      </c>
      <c r="Q322" t="s">
        <v>216</v>
      </c>
      <c r="R322" t="s">
        <v>217</v>
      </c>
      <c r="S322" t="s">
        <v>217</v>
      </c>
      <c r="T322" t="s">
        <v>217</v>
      </c>
      <c r="U322" t="s">
        <v>216</v>
      </c>
      <c r="V322">
        <f t="shared" si="16"/>
        <v>12</v>
      </c>
      <c r="W322">
        <f t="shared" si="17"/>
        <v>23</v>
      </c>
      <c r="X322">
        <f t="shared" si="18"/>
        <v>1.7142857142857142</v>
      </c>
      <c r="Y322">
        <f t="shared" si="19"/>
        <v>3.2857142857142856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6</v>
      </c>
      <c r="AN322" s="1">
        <v>1</v>
      </c>
      <c r="AO322" s="1">
        <v>2</v>
      </c>
      <c r="AP322" s="1">
        <v>1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1</v>
      </c>
      <c r="AX322" s="1">
        <v>2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1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1</v>
      </c>
      <c r="CU322" s="1">
        <v>0</v>
      </c>
      <c r="CV322" s="1">
        <v>5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1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1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1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</row>
    <row r="323" spans="1:242" x14ac:dyDescent="0.25">
      <c r="A323">
        <v>16805</v>
      </c>
      <c r="B323">
        <v>20</v>
      </c>
      <c r="C323">
        <v>7</v>
      </c>
      <c r="D323" t="s">
        <v>230</v>
      </c>
      <c r="E323" t="s">
        <v>215</v>
      </c>
      <c r="F323">
        <v>4</v>
      </c>
      <c r="G323">
        <v>26.624333329999999</v>
      </c>
      <c r="H323">
        <v>11.538083329999999</v>
      </c>
      <c r="I323">
        <v>16.396839780000001</v>
      </c>
      <c r="J323">
        <v>99.383333329999999</v>
      </c>
      <c r="K323">
        <v>35.816666669999996</v>
      </c>
      <c r="L323">
        <v>80.314732140000004</v>
      </c>
      <c r="M323">
        <v>9.9052725840000004</v>
      </c>
      <c r="N323">
        <v>-2.48</v>
      </c>
      <c r="O323">
        <v>0.88200000000000001</v>
      </c>
      <c r="P323" t="s">
        <v>216</v>
      </c>
      <c r="Q323" t="s">
        <v>216</v>
      </c>
      <c r="R323" t="s">
        <v>217</v>
      </c>
      <c r="S323" t="s">
        <v>217</v>
      </c>
      <c r="T323" t="s">
        <v>217</v>
      </c>
      <c r="U323" t="s">
        <v>216</v>
      </c>
      <c r="V323">
        <f t="shared" ref="V323:V361" si="20">COUNTIF(Z323:IH323, "&gt;0")</f>
        <v>6</v>
      </c>
      <c r="W323">
        <f t="shared" ref="W323:W361" si="21">SUM(Z323:IH323)</f>
        <v>10</v>
      </c>
      <c r="X323">
        <f t="shared" ref="X323:X361" si="22">V323/C323</f>
        <v>0.8571428571428571</v>
      </c>
      <c r="Y323">
        <f t="shared" ref="Y323:Y361" si="23">W323/C323</f>
        <v>1.4285714285714286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5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1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1</v>
      </c>
      <c r="CT323" s="1">
        <v>0</v>
      </c>
      <c r="CU323" s="1">
        <v>0</v>
      </c>
      <c r="CV323" s="1">
        <v>1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1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1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</row>
    <row r="324" spans="1:242" x14ac:dyDescent="0.25">
      <c r="A324">
        <v>16808</v>
      </c>
      <c r="B324">
        <v>4</v>
      </c>
      <c r="C324">
        <v>7</v>
      </c>
      <c r="D324" t="s">
        <v>229</v>
      </c>
      <c r="E324" t="s">
        <v>215</v>
      </c>
      <c r="F324">
        <v>4</v>
      </c>
      <c r="G324">
        <v>29.673749999999998</v>
      </c>
      <c r="H324">
        <v>13.56958333</v>
      </c>
      <c r="I324">
        <v>19.517590770000002</v>
      </c>
      <c r="J324">
        <v>91.95</v>
      </c>
      <c r="K324">
        <v>15.45</v>
      </c>
      <c r="L324">
        <v>48.972172620000002</v>
      </c>
      <c r="M324">
        <v>10.39456833</v>
      </c>
      <c r="N324">
        <v>0.36699999999999999</v>
      </c>
      <c r="O324">
        <v>-1.33</v>
      </c>
      <c r="P324" t="s">
        <v>216</v>
      </c>
      <c r="Q324" t="s">
        <v>217</v>
      </c>
      <c r="R324" t="s">
        <v>216</v>
      </c>
      <c r="S324" t="s">
        <v>217</v>
      </c>
      <c r="T324" t="s">
        <v>217</v>
      </c>
      <c r="U324" t="s">
        <v>216</v>
      </c>
      <c r="V324">
        <f t="shared" si="20"/>
        <v>12</v>
      </c>
      <c r="W324">
        <f t="shared" si="21"/>
        <v>60</v>
      </c>
      <c r="X324">
        <f t="shared" si="22"/>
        <v>1.7142857142857142</v>
      </c>
      <c r="Y324">
        <f t="shared" si="23"/>
        <v>8.5714285714285712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14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1</v>
      </c>
      <c r="BX324" s="1">
        <v>0</v>
      </c>
      <c r="BY324" s="1">
        <v>0</v>
      </c>
      <c r="BZ324" s="1">
        <v>0</v>
      </c>
      <c r="CA324" s="1">
        <v>2</v>
      </c>
      <c r="CB324" s="1">
        <v>1</v>
      </c>
      <c r="CC324" s="1">
        <v>0</v>
      </c>
      <c r="CD324" s="1">
        <v>1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3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2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4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29</v>
      </c>
      <c r="DP324" s="1">
        <v>0</v>
      </c>
      <c r="DQ324" s="1">
        <v>0</v>
      </c>
      <c r="DR324" s="1">
        <v>0</v>
      </c>
      <c r="DS324" s="1">
        <v>1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1</v>
      </c>
    </row>
    <row r="325" spans="1:242" x14ac:dyDescent="0.25">
      <c r="A325">
        <v>16814</v>
      </c>
      <c r="B325">
        <v>10</v>
      </c>
      <c r="C325">
        <v>7</v>
      </c>
      <c r="D325" t="s">
        <v>229</v>
      </c>
      <c r="E325" t="s">
        <v>215</v>
      </c>
      <c r="F325">
        <v>8</v>
      </c>
      <c r="G325">
        <v>37.629416669999998</v>
      </c>
      <c r="H325">
        <v>8.6116666669999997</v>
      </c>
      <c r="I325">
        <v>20.066575889999999</v>
      </c>
      <c r="J325">
        <v>95.474999999999994</v>
      </c>
      <c r="K325">
        <v>11.85</v>
      </c>
      <c r="L325">
        <v>59.188442459999997</v>
      </c>
      <c r="M325">
        <v>10.40129606</v>
      </c>
      <c r="N325">
        <v>0.20799999999999999</v>
      </c>
      <c r="O325">
        <v>-1.51</v>
      </c>
      <c r="P325" t="s">
        <v>216</v>
      </c>
      <c r="Q325" t="s">
        <v>217</v>
      </c>
      <c r="R325" t="s">
        <v>217</v>
      </c>
      <c r="S325" t="s">
        <v>217</v>
      </c>
      <c r="T325" t="s">
        <v>217</v>
      </c>
      <c r="U325" t="s">
        <v>217</v>
      </c>
      <c r="V325">
        <f t="shared" si="20"/>
        <v>15</v>
      </c>
      <c r="W325">
        <f t="shared" si="21"/>
        <v>47</v>
      </c>
      <c r="X325">
        <f t="shared" si="22"/>
        <v>2.1428571428571428</v>
      </c>
      <c r="Y325">
        <f t="shared" si="23"/>
        <v>6.7142857142857144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19</v>
      </c>
      <c r="AN325" s="1">
        <v>0</v>
      </c>
      <c r="AO325" s="1">
        <v>1</v>
      </c>
      <c r="AP325" s="1">
        <v>0</v>
      </c>
      <c r="AQ325" s="1">
        <v>0</v>
      </c>
      <c r="AR325" s="1">
        <v>0</v>
      </c>
      <c r="AS325" s="1">
        <v>0</v>
      </c>
      <c r="AT325" s="1">
        <v>1</v>
      </c>
      <c r="AU325" s="1">
        <v>0</v>
      </c>
      <c r="AV325" s="1">
        <v>0</v>
      </c>
      <c r="AW325" s="1">
        <v>0</v>
      </c>
      <c r="AX325" s="1">
        <v>1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4</v>
      </c>
      <c r="CA325" s="1">
        <v>0</v>
      </c>
      <c r="CB325" s="1">
        <v>0</v>
      </c>
      <c r="CC325" s="1">
        <v>0</v>
      </c>
      <c r="CD325" s="1">
        <v>1</v>
      </c>
      <c r="CE325" s="1">
        <v>0</v>
      </c>
      <c r="CF325" s="1">
        <v>0</v>
      </c>
      <c r="CG325" s="1">
        <v>1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2</v>
      </c>
      <c r="CS325" s="1">
        <v>0</v>
      </c>
      <c r="CT325" s="1">
        <v>4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2</v>
      </c>
      <c r="DC325" s="1">
        <v>3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1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2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2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3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</row>
    <row r="326" spans="1:242" x14ac:dyDescent="0.25">
      <c r="A326">
        <v>16818</v>
      </c>
      <c r="B326">
        <v>10</v>
      </c>
      <c r="C326">
        <v>7</v>
      </c>
      <c r="D326" t="s">
        <v>230</v>
      </c>
      <c r="E326" t="s">
        <v>215</v>
      </c>
      <c r="F326">
        <v>8</v>
      </c>
      <c r="G326">
        <v>30.906416669999999</v>
      </c>
      <c r="H326">
        <v>8.8143333330000004</v>
      </c>
      <c r="I326">
        <v>17.182541709999999</v>
      </c>
      <c r="J326">
        <v>98.891666670000006</v>
      </c>
      <c r="K326">
        <v>30.68333333</v>
      </c>
      <c r="L326">
        <v>81.33341901</v>
      </c>
      <c r="M326">
        <v>9.9135942989999997</v>
      </c>
      <c r="N326">
        <v>-2.1</v>
      </c>
      <c r="O326">
        <v>0.35399999999999998</v>
      </c>
      <c r="P326" t="s">
        <v>216</v>
      </c>
      <c r="Q326" t="s">
        <v>217</v>
      </c>
      <c r="R326" t="s">
        <v>217</v>
      </c>
      <c r="S326" t="s">
        <v>217</v>
      </c>
      <c r="T326" t="s">
        <v>217</v>
      </c>
      <c r="U326" t="s">
        <v>217</v>
      </c>
      <c r="V326">
        <f t="shared" si="20"/>
        <v>6</v>
      </c>
      <c r="W326">
        <f t="shared" si="21"/>
        <v>29</v>
      </c>
      <c r="X326">
        <f t="shared" si="22"/>
        <v>0.8571428571428571</v>
      </c>
      <c r="Y326">
        <f t="shared" si="23"/>
        <v>4.1428571428571432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14</v>
      </c>
      <c r="AN326" s="1">
        <v>0</v>
      </c>
      <c r="AO326" s="1">
        <v>0</v>
      </c>
      <c r="AP326" s="1">
        <v>2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6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3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3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</row>
    <row r="327" spans="1:242" x14ac:dyDescent="0.25">
      <c r="A327">
        <v>16819</v>
      </c>
      <c r="B327">
        <v>22</v>
      </c>
      <c r="C327">
        <v>7</v>
      </c>
      <c r="D327" t="s">
        <v>229</v>
      </c>
      <c r="E327" t="s">
        <v>215</v>
      </c>
      <c r="F327">
        <v>5</v>
      </c>
      <c r="G327">
        <v>30.70941667</v>
      </c>
      <c r="H327">
        <v>9.8068333330000002</v>
      </c>
      <c r="I327">
        <v>17.393151790000001</v>
      </c>
      <c r="J327">
        <v>95.1</v>
      </c>
      <c r="K327">
        <v>21.983333330000001</v>
      </c>
      <c r="L327">
        <v>64.397569439999998</v>
      </c>
      <c r="M327">
        <v>10.58903282</v>
      </c>
      <c r="N327">
        <v>-0.92700000000000005</v>
      </c>
      <c r="O327">
        <v>-0.71299999999999997</v>
      </c>
      <c r="P327" t="s">
        <v>217</v>
      </c>
      <c r="Q327" t="s">
        <v>216</v>
      </c>
      <c r="R327" t="s">
        <v>216</v>
      </c>
      <c r="S327" t="s">
        <v>217</v>
      </c>
      <c r="T327" t="s">
        <v>217</v>
      </c>
      <c r="U327" t="s">
        <v>217</v>
      </c>
      <c r="V327">
        <f t="shared" si="20"/>
        <v>15</v>
      </c>
      <c r="W327">
        <f t="shared" si="21"/>
        <v>41</v>
      </c>
      <c r="X327">
        <f t="shared" si="22"/>
        <v>2.1428571428571428</v>
      </c>
      <c r="Y327">
        <f t="shared" si="23"/>
        <v>5.8571428571428568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1</v>
      </c>
      <c r="AP327" s="1">
        <v>1</v>
      </c>
      <c r="AQ327" s="1">
        <v>0</v>
      </c>
      <c r="AR327" s="1">
        <v>1</v>
      </c>
      <c r="AS327" s="1">
        <v>0</v>
      </c>
      <c r="AT327" s="1">
        <v>1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1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1</v>
      </c>
      <c r="BZ327" s="1">
        <v>3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15</v>
      </c>
      <c r="CU327" s="1">
        <v>0</v>
      </c>
      <c r="CV327" s="1">
        <v>6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1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2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4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1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2</v>
      </c>
      <c r="IG327">
        <v>0</v>
      </c>
      <c r="IH327">
        <v>0</v>
      </c>
    </row>
    <row r="328" spans="1:242" x14ac:dyDescent="0.25">
      <c r="A328">
        <v>16824</v>
      </c>
      <c r="B328">
        <v>22</v>
      </c>
      <c r="C328">
        <v>7</v>
      </c>
      <c r="D328" t="s">
        <v>230</v>
      </c>
      <c r="E328" t="s">
        <v>215</v>
      </c>
      <c r="F328">
        <v>5</v>
      </c>
      <c r="G328">
        <v>30.505083330000001</v>
      </c>
      <c r="H328">
        <v>12.420833330000001</v>
      </c>
      <c r="I328">
        <v>17.081435970000001</v>
      </c>
      <c r="J328">
        <v>98.275000000000006</v>
      </c>
      <c r="K328">
        <v>31.991666670000001</v>
      </c>
      <c r="L328">
        <v>77.669881849999996</v>
      </c>
      <c r="M328">
        <v>9.9085315299999994</v>
      </c>
      <c r="N328">
        <v>-1.67</v>
      </c>
      <c r="O328">
        <v>0.60099999999999998</v>
      </c>
      <c r="P328" t="s">
        <v>217</v>
      </c>
      <c r="Q328" t="s">
        <v>216</v>
      </c>
      <c r="R328" t="s">
        <v>216</v>
      </c>
      <c r="S328" t="s">
        <v>217</v>
      </c>
      <c r="T328" t="s">
        <v>217</v>
      </c>
      <c r="U328" t="s">
        <v>217</v>
      </c>
      <c r="V328">
        <f t="shared" si="20"/>
        <v>22</v>
      </c>
      <c r="W328">
        <f t="shared" si="21"/>
        <v>64</v>
      </c>
      <c r="X328">
        <f t="shared" si="22"/>
        <v>3.1428571428571428</v>
      </c>
      <c r="Y328">
        <f t="shared" si="23"/>
        <v>9.1428571428571423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0</v>
      </c>
      <c r="AJ328" s="1">
        <v>0</v>
      </c>
      <c r="AK328" s="1">
        <v>0</v>
      </c>
      <c r="AL328" s="1">
        <v>0</v>
      </c>
      <c r="AM328" s="1">
        <v>5</v>
      </c>
      <c r="AN328" s="1">
        <v>0</v>
      </c>
      <c r="AO328" s="1">
        <v>1</v>
      </c>
      <c r="AP328" s="1">
        <v>1</v>
      </c>
      <c r="AQ328" s="1">
        <v>2</v>
      </c>
      <c r="AR328" s="1">
        <v>1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2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1</v>
      </c>
      <c r="BN328" s="1">
        <v>0</v>
      </c>
      <c r="BO328" s="1">
        <v>1</v>
      </c>
      <c r="BP328" s="1">
        <v>0</v>
      </c>
      <c r="BQ328" s="1">
        <v>1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8</v>
      </c>
      <c r="BZ328" s="1">
        <v>6</v>
      </c>
      <c r="CA328" s="1">
        <v>0</v>
      </c>
      <c r="CB328" s="1">
        <v>1</v>
      </c>
      <c r="CC328" s="1">
        <v>0</v>
      </c>
      <c r="CD328" s="1">
        <v>1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4</v>
      </c>
      <c r="CU328" s="1">
        <v>0</v>
      </c>
      <c r="CV328" s="1">
        <v>17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5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1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2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1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1</v>
      </c>
      <c r="IC328">
        <v>0</v>
      </c>
      <c r="ID328">
        <v>0</v>
      </c>
      <c r="IE328">
        <v>0</v>
      </c>
      <c r="IF328">
        <v>1</v>
      </c>
      <c r="IG328">
        <v>0</v>
      </c>
      <c r="IH328">
        <v>0</v>
      </c>
    </row>
    <row r="329" spans="1:242" x14ac:dyDescent="0.25">
      <c r="A329">
        <v>16826</v>
      </c>
      <c r="B329">
        <v>6</v>
      </c>
      <c r="C329">
        <v>7</v>
      </c>
      <c r="D329" t="s">
        <v>229</v>
      </c>
      <c r="E329" t="s">
        <v>215</v>
      </c>
      <c r="F329">
        <v>4</v>
      </c>
      <c r="G329">
        <v>34.728499999999997</v>
      </c>
      <c r="H329">
        <v>11.56366667</v>
      </c>
      <c r="I329">
        <v>20.253177579999999</v>
      </c>
      <c r="J329">
        <v>91.141666670000006</v>
      </c>
      <c r="K329">
        <v>14.25</v>
      </c>
      <c r="L329">
        <v>50.250198410000003</v>
      </c>
      <c r="M329">
        <v>10.39468252</v>
      </c>
      <c r="N329">
        <v>0.85</v>
      </c>
      <c r="O329">
        <v>-1.61</v>
      </c>
      <c r="P329" t="s">
        <v>216</v>
      </c>
      <c r="Q329" t="s">
        <v>217</v>
      </c>
      <c r="R329" t="s">
        <v>217</v>
      </c>
      <c r="S329" t="s">
        <v>217</v>
      </c>
      <c r="T329" t="s">
        <v>217</v>
      </c>
      <c r="U329" t="s">
        <v>216</v>
      </c>
      <c r="V329">
        <f t="shared" si="20"/>
        <v>32</v>
      </c>
      <c r="W329">
        <f t="shared" si="21"/>
        <v>205</v>
      </c>
      <c r="X329">
        <f t="shared" si="22"/>
        <v>4.5714285714285712</v>
      </c>
      <c r="Y329">
        <f t="shared" si="23"/>
        <v>29.285714285714285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2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19</v>
      </c>
      <c r="AN329" s="1">
        <v>3</v>
      </c>
      <c r="AO329" s="1">
        <v>7</v>
      </c>
      <c r="AP329" s="1">
        <v>0</v>
      </c>
      <c r="AQ329" s="1">
        <v>0</v>
      </c>
      <c r="AR329" s="1">
        <v>0</v>
      </c>
      <c r="AS329" s="1">
        <v>0</v>
      </c>
      <c r="AT329" s="1">
        <v>2</v>
      </c>
      <c r="AU329" s="1">
        <v>0</v>
      </c>
      <c r="AV329" s="1">
        <v>0</v>
      </c>
      <c r="AW329" s="1">
        <v>0</v>
      </c>
      <c r="AX329" s="1">
        <v>1</v>
      </c>
      <c r="AY329" s="1">
        <v>0</v>
      </c>
      <c r="AZ329" s="1">
        <v>0</v>
      </c>
      <c r="BA329" s="1">
        <v>0</v>
      </c>
      <c r="BB329" s="1">
        <v>1</v>
      </c>
      <c r="BC329" s="1">
        <v>0</v>
      </c>
      <c r="BD329" s="1">
        <v>0</v>
      </c>
      <c r="BE329" s="1">
        <v>0</v>
      </c>
      <c r="BF329" s="1">
        <v>1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2</v>
      </c>
      <c r="BM329" s="1">
        <v>0</v>
      </c>
      <c r="BN329" s="1">
        <v>0</v>
      </c>
      <c r="BO329" s="1">
        <v>0</v>
      </c>
      <c r="BP329" s="1">
        <v>0</v>
      </c>
      <c r="BQ329" s="1">
        <v>1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5</v>
      </c>
      <c r="BZ329" s="1">
        <v>4</v>
      </c>
      <c r="CA329" s="1">
        <v>1</v>
      </c>
      <c r="CB329" s="1">
        <v>1</v>
      </c>
      <c r="CC329" s="1">
        <v>0</v>
      </c>
      <c r="CD329" s="1">
        <v>0</v>
      </c>
      <c r="CE329" s="1">
        <v>0</v>
      </c>
      <c r="CF329" s="1">
        <v>0</v>
      </c>
      <c r="CG329" s="1">
        <v>44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1</v>
      </c>
      <c r="CS329" s="1">
        <v>0</v>
      </c>
      <c r="CT329" s="1">
        <v>14</v>
      </c>
      <c r="CU329" s="1">
        <v>0</v>
      </c>
      <c r="CV329" s="1">
        <v>19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25</v>
      </c>
      <c r="DC329" s="1">
        <v>4</v>
      </c>
      <c r="DD329" s="1">
        <v>0</v>
      </c>
      <c r="DE329" s="1">
        <v>0</v>
      </c>
      <c r="DF329" s="1">
        <v>0</v>
      </c>
      <c r="DG329" s="1">
        <v>5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1</v>
      </c>
      <c r="DP329" s="1">
        <v>0</v>
      </c>
      <c r="DQ329" s="1">
        <v>0</v>
      </c>
      <c r="DR329" s="1">
        <v>0</v>
      </c>
      <c r="DS329" s="1">
        <v>5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4</v>
      </c>
      <c r="EA329" s="1">
        <v>0</v>
      </c>
      <c r="EB329" s="1">
        <v>1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1</v>
      </c>
      <c r="EI329" s="1">
        <v>0</v>
      </c>
      <c r="EJ329" s="1">
        <v>0</v>
      </c>
      <c r="EK329" s="1">
        <v>12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6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4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6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2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</row>
    <row r="330" spans="1:242" x14ac:dyDescent="0.25">
      <c r="A330">
        <v>16830</v>
      </c>
      <c r="B330">
        <v>6</v>
      </c>
      <c r="C330">
        <v>7</v>
      </c>
      <c r="D330" t="s">
        <v>230</v>
      </c>
      <c r="E330" t="s">
        <v>215</v>
      </c>
      <c r="F330">
        <v>4</v>
      </c>
      <c r="G330">
        <v>27.085999999999999</v>
      </c>
      <c r="H330">
        <v>11.05133333</v>
      </c>
      <c r="I330">
        <v>16.689560520000001</v>
      </c>
      <c r="J330">
        <v>100</v>
      </c>
      <c r="K330">
        <v>35.383333329999999</v>
      </c>
      <c r="L330">
        <v>80.210466269999998</v>
      </c>
      <c r="M330">
        <v>9.9049744739999994</v>
      </c>
      <c r="N330">
        <v>-2.4900000000000002</v>
      </c>
      <c r="O330">
        <v>0.84699999999999998</v>
      </c>
      <c r="P330" t="s">
        <v>216</v>
      </c>
      <c r="Q330" t="s">
        <v>217</v>
      </c>
      <c r="R330" t="s">
        <v>217</v>
      </c>
      <c r="S330" t="s">
        <v>217</v>
      </c>
      <c r="T330" t="s">
        <v>217</v>
      </c>
      <c r="U330" t="s">
        <v>216</v>
      </c>
      <c r="V330">
        <f t="shared" si="20"/>
        <v>28</v>
      </c>
      <c r="W330">
        <f t="shared" si="21"/>
        <v>129</v>
      </c>
      <c r="X330">
        <f t="shared" si="22"/>
        <v>4</v>
      </c>
      <c r="Y330">
        <f t="shared" si="23"/>
        <v>18.428571428571427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37</v>
      </c>
      <c r="AN330" s="1">
        <v>1</v>
      </c>
      <c r="AO330" s="1">
        <v>1</v>
      </c>
      <c r="AP330" s="1">
        <v>0</v>
      </c>
      <c r="AQ330" s="1">
        <v>1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1</v>
      </c>
      <c r="AY330" s="1">
        <v>0</v>
      </c>
      <c r="AZ330" s="1">
        <v>0</v>
      </c>
      <c r="BA330" s="1">
        <v>0</v>
      </c>
      <c r="BB330" s="1">
        <v>1</v>
      </c>
      <c r="BC330" s="1">
        <v>0</v>
      </c>
      <c r="BD330" s="1">
        <v>0</v>
      </c>
      <c r="BE330" s="1">
        <v>0</v>
      </c>
      <c r="BF330" s="1">
        <v>0</v>
      </c>
      <c r="BG330" s="1">
        <v>1</v>
      </c>
      <c r="BH330" s="1">
        <v>0</v>
      </c>
      <c r="BI330" s="1">
        <v>0</v>
      </c>
      <c r="BJ330" s="1">
        <v>0</v>
      </c>
      <c r="BK330" s="1">
        <v>0</v>
      </c>
      <c r="BL330" s="1">
        <v>1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1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18</v>
      </c>
      <c r="BZ330" s="1">
        <v>12</v>
      </c>
      <c r="CA330" s="1">
        <v>2</v>
      </c>
      <c r="CB330" s="1">
        <v>2</v>
      </c>
      <c r="CC330" s="1">
        <v>1</v>
      </c>
      <c r="CD330" s="1">
        <v>0</v>
      </c>
      <c r="CE330" s="1">
        <v>0</v>
      </c>
      <c r="CF330" s="1">
        <v>0</v>
      </c>
      <c r="CG330" s="1">
        <v>2</v>
      </c>
      <c r="CH330" s="1">
        <v>0</v>
      </c>
      <c r="CI330" s="1">
        <v>0</v>
      </c>
      <c r="CJ330" s="1">
        <v>1</v>
      </c>
      <c r="CK330" s="1">
        <v>0</v>
      </c>
      <c r="CL330" s="1">
        <v>1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2</v>
      </c>
      <c r="CT330" s="1">
        <v>8</v>
      </c>
      <c r="CU330" s="1">
        <v>0</v>
      </c>
      <c r="CV330" s="1">
        <v>8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12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1</v>
      </c>
      <c r="DP330" s="1">
        <v>0</v>
      </c>
      <c r="DQ330" s="1">
        <v>0</v>
      </c>
      <c r="DR330" s="1">
        <v>0</v>
      </c>
      <c r="DS330" s="1">
        <v>1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2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5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4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1</v>
      </c>
      <c r="FH330" s="1">
        <v>1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</row>
    <row r="331" spans="1:242" x14ac:dyDescent="0.25">
      <c r="A331">
        <v>16831</v>
      </c>
      <c r="B331">
        <v>11</v>
      </c>
      <c r="C331">
        <v>7</v>
      </c>
      <c r="D331" t="s">
        <v>229</v>
      </c>
      <c r="E331" t="s">
        <v>215</v>
      </c>
      <c r="F331">
        <v>8</v>
      </c>
      <c r="G331">
        <v>29.864166669999999</v>
      </c>
      <c r="H331">
        <v>13.268750000000001</v>
      </c>
      <c r="I331">
        <v>19.988551090000001</v>
      </c>
      <c r="J331">
        <v>87.016666670000006</v>
      </c>
      <c r="K331">
        <v>17.008333329999999</v>
      </c>
      <c r="L331">
        <v>50.959226190000003</v>
      </c>
      <c r="M331">
        <v>10.397490299999999</v>
      </c>
      <c r="N331">
        <v>0.84899999999999998</v>
      </c>
      <c r="O331">
        <v>-1.4</v>
      </c>
      <c r="P331" t="s">
        <v>217</v>
      </c>
      <c r="Q331" t="s">
        <v>216</v>
      </c>
      <c r="R331" t="s">
        <v>217</v>
      </c>
      <c r="S331" t="s">
        <v>217</v>
      </c>
      <c r="T331" t="s">
        <v>217</v>
      </c>
      <c r="U331" t="s">
        <v>217</v>
      </c>
      <c r="V331">
        <f t="shared" si="20"/>
        <v>12</v>
      </c>
      <c r="W331">
        <f t="shared" si="21"/>
        <v>25</v>
      </c>
      <c r="X331">
        <f t="shared" si="22"/>
        <v>1.7142857142857142</v>
      </c>
      <c r="Y331">
        <f t="shared" si="23"/>
        <v>3.5714285714285716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1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2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2</v>
      </c>
      <c r="BN331" s="1">
        <v>0</v>
      </c>
      <c r="BO331" s="1">
        <v>0</v>
      </c>
      <c r="BP331" s="1">
        <v>0</v>
      </c>
      <c r="BQ331" s="1">
        <v>1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1</v>
      </c>
      <c r="BZ331" s="1">
        <v>0</v>
      </c>
      <c r="CA331" s="1">
        <v>7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2</v>
      </c>
      <c r="CP331" s="1">
        <v>0</v>
      </c>
      <c r="CQ331" s="1">
        <v>0</v>
      </c>
      <c r="CR331" s="1">
        <v>0</v>
      </c>
      <c r="CS331" s="1">
        <v>0</v>
      </c>
      <c r="CT331" s="1">
        <v>1</v>
      </c>
      <c r="CU331" s="1">
        <v>0</v>
      </c>
      <c r="CV331" s="1">
        <v>5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1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1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1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</row>
    <row r="332" spans="1:242" x14ac:dyDescent="0.25">
      <c r="A332">
        <v>16835</v>
      </c>
      <c r="B332">
        <v>11</v>
      </c>
      <c r="C332">
        <v>7</v>
      </c>
      <c r="D332" t="s">
        <v>230</v>
      </c>
      <c r="E332" t="s">
        <v>215</v>
      </c>
      <c r="F332">
        <v>8</v>
      </c>
      <c r="G332">
        <v>23.797333330000001</v>
      </c>
      <c r="H332">
        <v>12.575749999999999</v>
      </c>
      <c r="I332">
        <v>17.009584329999999</v>
      </c>
      <c r="J332">
        <v>100</v>
      </c>
      <c r="K332">
        <v>42.241666670000001</v>
      </c>
      <c r="L332">
        <v>79.637301590000007</v>
      </c>
      <c r="M332">
        <v>9.9086341660000006</v>
      </c>
      <c r="N332">
        <v>-2.72</v>
      </c>
      <c r="O332">
        <v>1.39</v>
      </c>
      <c r="P332" t="s">
        <v>217</v>
      </c>
      <c r="Q332" t="s">
        <v>216</v>
      </c>
      <c r="R332" t="s">
        <v>217</v>
      </c>
      <c r="S332" t="s">
        <v>217</v>
      </c>
      <c r="T332" t="s">
        <v>217</v>
      </c>
      <c r="U332" t="s">
        <v>217</v>
      </c>
      <c r="V332">
        <f t="shared" si="20"/>
        <v>11</v>
      </c>
      <c r="W332">
        <f t="shared" si="21"/>
        <v>18</v>
      </c>
      <c r="X332">
        <f t="shared" si="22"/>
        <v>1.5714285714285714</v>
      </c>
      <c r="Y332">
        <f t="shared" si="23"/>
        <v>2.5714285714285716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1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3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1</v>
      </c>
      <c r="BN332" s="1">
        <v>0</v>
      </c>
      <c r="BO332" s="1">
        <v>1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2</v>
      </c>
      <c r="CB332" s="1">
        <v>1</v>
      </c>
      <c r="CC332" s="1">
        <v>0</v>
      </c>
      <c r="CD332" s="1">
        <v>1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1</v>
      </c>
      <c r="CP332" s="1">
        <v>0</v>
      </c>
      <c r="CQ332" s="1">
        <v>0</v>
      </c>
      <c r="CR332" s="1">
        <v>0</v>
      </c>
      <c r="CS332" s="1">
        <v>0</v>
      </c>
      <c r="CT332" s="1">
        <v>1</v>
      </c>
      <c r="CU332" s="1">
        <v>0</v>
      </c>
      <c r="CV332" s="1">
        <v>5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</row>
    <row r="333" spans="1:242" x14ac:dyDescent="0.25">
      <c r="A333">
        <v>16838</v>
      </c>
      <c r="B333">
        <v>12</v>
      </c>
      <c r="C333">
        <v>7</v>
      </c>
      <c r="D333" t="s">
        <v>229</v>
      </c>
      <c r="E333" t="s">
        <v>215</v>
      </c>
      <c r="F333">
        <v>8</v>
      </c>
      <c r="G333">
        <v>36.413499999999999</v>
      </c>
      <c r="H333">
        <v>10.61975</v>
      </c>
      <c r="I333">
        <v>20.163847220000001</v>
      </c>
      <c r="J333">
        <v>94.991666670000001</v>
      </c>
      <c r="K333">
        <v>12.733333330000001</v>
      </c>
      <c r="L333">
        <v>55.11681548</v>
      </c>
      <c r="M333">
        <v>10.39915957</v>
      </c>
      <c r="N333">
        <v>0.42799999999999999</v>
      </c>
      <c r="O333">
        <v>-1.43</v>
      </c>
      <c r="P333" t="s">
        <v>217</v>
      </c>
      <c r="Q333" t="s">
        <v>217</v>
      </c>
      <c r="R333" t="s">
        <v>217</v>
      </c>
      <c r="S333" t="s">
        <v>217</v>
      </c>
      <c r="T333" t="s">
        <v>217</v>
      </c>
      <c r="U333" t="s">
        <v>217</v>
      </c>
      <c r="V333">
        <f t="shared" si="20"/>
        <v>23</v>
      </c>
      <c r="W333">
        <f t="shared" si="21"/>
        <v>86</v>
      </c>
      <c r="X333">
        <f t="shared" si="22"/>
        <v>3.2857142857142856</v>
      </c>
      <c r="Y333">
        <f t="shared" si="23"/>
        <v>12.285714285714286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0</v>
      </c>
      <c r="AL333" s="1">
        <v>0</v>
      </c>
      <c r="AM333" s="1">
        <v>34</v>
      </c>
      <c r="AN333" s="1">
        <v>0</v>
      </c>
      <c r="AO333" s="1">
        <v>2</v>
      </c>
      <c r="AP333" s="1">
        <v>0</v>
      </c>
      <c r="AQ333" s="1">
        <v>0</v>
      </c>
      <c r="AR333" s="1">
        <v>1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1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2</v>
      </c>
      <c r="BN333" s="1">
        <v>0</v>
      </c>
      <c r="BO333" s="1">
        <v>0</v>
      </c>
      <c r="BP333" s="1">
        <v>0</v>
      </c>
      <c r="BQ333" s="1">
        <v>1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2</v>
      </c>
      <c r="BZ333" s="1">
        <v>2</v>
      </c>
      <c r="CA333" s="1">
        <v>1</v>
      </c>
      <c r="CB333" s="1">
        <v>0</v>
      </c>
      <c r="CC333" s="1">
        <v>0</v>
      </c>
      <c r="CD333" s="1">
        <v>0</v>
      </c>
      <c r="CE333" s="1">
        <v>1</v>
      </c>
      <c r="CF333" s="1">
        <v>0</v>
      </c>
      <c r="CG333" s="1">
        <v>1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1</v>
      </c>
      <c r="CS333" s="1">
        <v>0</v>
      </c>
      <c r="CT333" s="1">
        <v>6</v>
      </c>
      <c r="CU333" s="1">
        <v>0</v>
      </c>
      <c r="CV333" s="1">
        <v>8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10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1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1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2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1</v>
      </c>
      <c r="FI333" s="1">
        <v>0</v>
      </c>
      <c r="FJ333" s="1">
        <v>0</v>
      </c>
      <c r="FK333" s="1">
        <v>0</v>
      </c>
      <c r="FL333" s="1">
        <v>0</v>
      </c>
      <c r="FM333" s="1">
        <v>3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1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3</v>
      </c>
    </row>
    <row r="334" spans="1:242" x14ac:dyDescent="0.25">
      <c r="A334">
        <v>16843</v>
      </c>
      <c r="B334">
        <v>18</v>
      </c>
      <c r="C334">
        <v>7</v>
      </c>
      <c r="D334" t="s">
        <v>229</v>
      </c>
      <c r="E334" t="s">
        <v>215</v>
      </c>
      <c r="F334">
        <v>9</v>
      </c>
      <c r="G334">
        <v>34.04516667</v>
      </c>
      <c r="H334">
        <v>7.9470833330000001</v>
      </c>
      <c r="I334">
        <v>18.269197420000001</v>
      </c>
      <c r="J334">
        <v>95.325000000000003</v>
      </c>
      <c r="K334">
        <v>16.475000000000001</v>
      </c>
      <c r="L334">
        <v>60.558581349999997</v>
      </c>
      <c r="M334">
        <v>10.397197739999999</v>
      </c>
      <c r="N334">
        <v>-0.53800000000000003</v>
      </c>
      <c r="O334">
        <v>-1.36</v>
      </c>
      <c r="P334" t="s">
        <v>216</v>
      </c>
      <c r="Q334" t="s">
        <v>217</v>
      </c>
      <c r="R334" t="s">
        <v>217</v>
      </c>
      <c r="S334" t="s">
        <v>217</v>
      </c>
      <c r="T334" t="s">
        <v>217</v>
      </c>
      <c r="U334" t="s">
        <v>217</v>
      </c>
      <c r="V334">
        <f t="shared" si="20"/>
        <v>16</v>
      </c>
      <c r="W334">
        <f t="shared" si="21"/>
        <v>149</v>
      </c>
      <c r="X334">
        <f t="shared" si="22"/>
        <v>2.2857142857142856</v>
      </c>
      <c r="Y334">
        <f t="shared" si="23"/>
        <v>21.285714285714285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1</v>
      </c>
      <c r="AL334" s="1">
        <v>0</v>
      </c>
      <c r="AM334" s="1">
        <v>103</v>
      </c>
      <c r="AN334" s="1">
        <v>0</v>
      </c>
      <c r="AO334" s="1">
        <v>0</v>
      </c>
      <c r="AP334" s="1">
        <v>6</v>
      </c>
      <c r="AQ334" s="1">
        <v>0</v>
      </c>
      <c r="AR334" s="1">
        <v>1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2</v>
      </c>
      <c r="CA334" s="1">
        <v>1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2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5</v>
      </c>
      <c r="CU334" s="1">
        <v>0</v>
      </c>
      <c r="CV334" s="1">
        <v>7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3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2</v>
      </c>
      <c r="DP334" s="1">
        <v>1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1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2</v>
      </c>
      <c r="IG334">
        <v>0</v>
      </c>
      <c r="IH334">
        <v>11</v>
      </c>
    </row>
    <row r="335" spans="1:242" x14ac:dyDescent="0.25">
      <c r="A335">
        <v>16847</v>
      </c>
      <c r="B335">
        <v>18</v>
      </c>
      <c r="C335">
        <v>4</v>
      </c>
      <c r="D335" t="s">
        <v>230</v>
      </c>
      <c r="E335" t="s">
        <v>215</v>
      </c>
      <c r="F335">
        <v>9</v>
      </c>
      <c r="G335">
        <v>27.90891667</v>
      </c>
      <c r="H335">
        <v>8.8185833329999994</v>
      </c>
      <c r="I335">
        <v>16.063800100000002</v>
      </c>
      <c r="J335">
        <v>99.358333329999994</v>
      </c>
      <c r="K335">
        <v>38.866666670000001</v>
      </c>
      <c r="L335">
        <v>83.585466269999998</v>
      </c>
      <c r="M335">
        <v>9.9082528480000001</v>
      </c>
      <c r="N335">
        <v>-2.77</v>
      </c>
      <c r="O335">
        <v>0.84499999999999997</v>
      </c>
      <c r="P335" t="s">
        <v>216</v>
      </c>
      <c r="Q335" t="s">
        <v>217</v>
      </c>
      <c r="R335" t="s">
        <v>217</v>
      </c>
      <c r="S335" t="s">
        <v>217</v>
      </c>
      <c r="T335" t="s">
        <v>217</v>
      </c>
      <c r="U335" t="s">
        <v>217</v>
      </c>
      <c r="V335">
        <f t="shared" si="20"/>
        <v>12</v>
      </c>
      <c r="W335">
        <f t="shared" si="21"/>
        <v>159</v>
      </c>
      <c r="X335">
        <f t="shared" si="22"/>
        <v>3</v>
      </c>
      <c r="Y335">
        <f t="shared" si="23"/>
        <v>39.75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136</v>
      </c>
      <c r="AN335" s="1">
        <v>1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1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1</v>
      </c>
      <c r="BH335" s="1">
        <v>0</v>
      </c>
      <c r="BI335" s="1">
        <v>0</v>
      </c>
      <c r="BJ335" s="1">
        <v>0</v>
      </c>
      <c r="BK335" s="1">
        <v>0</v>
      </c>
      <c r="BL335" s="1">
        <v>2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1</v>
      </c>
      <c r="BX335" s="1">
        <v>0</v>
      </c>
      <c r="BY335" s="1">
        <v>0</v>
      </c>
      <c r="BZ335" s="1">
        <v>0</v>
      </c>
      <c r="CA335" s="1">
        <v>1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1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2</v>
      </c>
      <c r="CU335" s="1">
        <v>0</v>
      </c>
      <c r="CV335" s="1">
        <v>7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3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3</v>
      </c>
    </row>
    <row r="336" spans="1:242" x14ac:dyDescent="0.25">
      <c r="A336">
        <v>16850</v>
      </c>
      <c r="B336">
        <v>8</v>
      </c>
      <c r="C336">
        <v>7</v>
      </c>
      <c r="D336" t="s">
        <v>229</v>
      </c>
      <c r="E336" t="s">
        <v>215</v>
      </c>
      <c r="F336">
        <v>9</v>
      </c>
      <c r="G336">
        <v>36.529249999999998</v>
      </c>
      <c r="H336">
        <v>11.704000000000001</v>
      </c>
      <c r="I336">
        <v>20.560836810000001</v>
      </c>
      <c r="J336">
        <v>95.108333329999994</v>
      </c>
      <c r="K336">
        <v>14.975</v>
      </c>
      <c r="L336">
        <v>55.965823409999999</v>
      </c>
      <c r="M336">
        <v>10.400231740000001</v>
      </c>
      <c r="N336">
        <v>0.52900000000000003</v>
      </c>
      <c r="O336">
        <v>-1.1399999999999999</v>
      </c>
      <c r="P336" t="s">
        <v>216</v>
      </c>
      <c r="Q336" t="s">
        <v>216</v>
      </c>
      <c r="R336" t="s">
        <v>217</v>
      </c>
      <c r="S336" t="s">
        <v>217</v>
      </c>
      <c r="T336" t="s">
        <v>217</v>
      </c>
      <c r="U336" t="s">
        <v>216</v>
      </c>
      <c r="V336">
        <f t="shared" si="20"/>
        <v>16</v>
      </c>
      <c r="W336">
        <f t="shared" si="21"/>
        <v>66</v>
      </c>
      <c r="X336">
        <f t="shared" si="22"/>
        <v>2.2857142857142856</v>
      </c>
      <c r="Y336">
        <f t="shared" si="23"/>
        <v>9.4285714285714288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16</v>
      </c>
      <c r="AN336" s="1">
        <v>0</v>
      </c>
      <c r="AO336" s="1">
        <v>1</v>
      </c>
      <c r="AP336" s="1">
        <v>2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1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2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1</v>
      </c>
      <c r="CS336" s="1">
        <v>0</v>
      </c>
      <c r="CT336" s="1">
        <v>0</v>
      </c>
      <c r="CU336" s="1">
        <v>0</v>
      </c>
      <c r="CV336" s="1">
        <v>14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4</v>
      </c>
      <c r="DC336" s="1">
        <v>1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5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3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1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7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6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</row>
    <row r="337" spans="1:242" x14ac:dyDescent="0.25">
      <c r="A337">
        <v>16854</v>
      </c>
      <c r="B337">
        <v>8</v>
      </c>
      <c r="C337">
        <v>7</v>
      </c>
      <c r="D337" t="s">
        <v>230</v>
      </c>
      <c r="E337" t="s">
        <v>215</v>
      </c>
      <c r="F337">
        <v>9</v>
      </c>
      <c r="G337">
        <v>28.380500000000001</v>
      </c>
      <c r="H337">
        <v>11.611000000000001</v>
      </c>
      <c r="I337">
        <v>17.391693450000002</v>
      </c>
      <c r="J337">
        <v>100</v>
      </c>
      <c r="K337">
        <v>37.700000000000003</v>
      </c>
      <c r="L337">
        <v>81.484573409999996</v>
      </c>
      <c r="M337">
        <v>9.9122071829999996</v>
      </c>
      <c r="N337">
        <v>-2.2799999999999998</v>
      </c>
      <c r="O337">
        <v>1.1000000000000001</v>
      </c>
      <c r="P337" t="s">
        <v>216</v>
      </c>
      <c r="Q337" t="s">
        <v>216</v>
      </c>
      <c r="R337" t="s">
        <v>217</v>
      </c>
      <c r="S337" t="s">
        <v>217</v>
      </c>
      <c r="T337" t="s">
        <v>217</v>
      </c>
      <c r="U337" t="s">
        <v>216</v>
      </c>
      <c r="V337">
        <f t="shared" si="20"/>
        <v>9</v>
      </c>
      <c r="W337">
        <f t="shared" si="21"/>
        <v>55</v>
      </c>
      <c r="X337">
        <f t="shared" si="22"/>
        <v>1.2857142857142858</v>
      </c>
      <c r="Y337">
        <f t="shared" si="23"/>
        <v>7.8571428571428568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38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1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1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1</v>
      </c>
      <c r="CT337" s="1">
        <v>0</v>
      </c>
      <c r="CU337" s="1">
        <v>0</v>
      </c>
      <c r="CV337" s="1">
        <v>9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1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2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1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</row>
    <row r="338" spans="1:242" x14ac:dyDescent="0.25">
      <c r="A338">
        <v>16857</v>
      </c>
      <c r="B338">
        <v>26</v>
      </c>
      <c r="C338">
        <v>8</v>
      </c>
      <c r="D338" t="s">
        <v>229</v>
      </c>
      <c r="E338" t="s">
        <v>215</v>
      </c>
      <c r="F338">
        <v>9</v>
      </c>
      <c r="G338">
        <v>32.103583329999999</v>
      </c>
      <c r="H338">
        <v>10.719666670000001</v>
      </c>
      <c r="I338">
        <v>19.15884226</v>
      </c>
      <c r="J338">
        <v>96.541666669999998</v>
      </c>
      <c r="K338">
        <v>17.583333329999999</v>
      </c>
      <c r="L338">
        <v>59.647767860000002</v>
      </c>
      <c r="M338">
        <v>10.398472979999999</v>
      </c>
      <c r="N338">
        <v>-0.47199999999999998</v>
      </c>
      <c r="O338">
        <v>-0.91</v>
      </c>
      <c r="P338" t="s">
        <v>217</v>
      </c>
      <c r="Q338" t="s">
        <v>217</v>
      </c>
      <c r="R338" t="s">
        <v>217</v>
      </c>
      <c r="S338" t="s">
        <v>216</v>
      </c>
      <c r="T338" t="s">
        <v>216</v>
      </c>
      <c r="U338" t="s">
        <v>217</v>
      </c>
      <c r="V338">
        <f t="shared" si="20"/>
        <v>19</v>
      </c>
      <c r="W338">
        <f t="shared" si="21"/>
        <v>121</v>
      </c>
      <c r="X338">
        <f t="shared" si="22"/>
        <v>2.375</v>
      </c>
      <c r="Y338">
        <f t="shared" si="23"/>
        <v>15.125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39</v>
      </c>
      <c r="AN338" s="1">
        <v>7</v>
      </c>
      <c r="AO338" s="1">
        <v>1</v>
      </c>
      <c r="AP338" s="1">
        <v>4</v>
      </c>
      <c r="AQ338" s="1">
        <v>0</v>
      </c>
      <c r="AR338" s="1">
        <v>4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11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3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1</v>
      </c>
      <c r="BX338" s="1">
        <v>0</v>
      </c>
      <c r="BY338" s="1">
        <v>0</v>
      </c>
      <c r="BZ338" s="1">
        <v>8</v>
      </c>
      <c r="CA338" s="1">
        <v>0</v>
      </c>
      <c r="CB338" s="1">
        <v>1</v>
      </c>
      <c r="CC338" s="1">
        <v>0</v>
      </c>
      <c r="CD338" s="1">
        <v>1</v>
      </c>
      <c r="CE338" s="1">
        <v>0</v>
      </c>
      <c r="CF338" s="1">
        <v>0</v>
      </c>
      <c r="CG338" s="1">
        <v>1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26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4</v>
      </c>
      <c r="DC338" s="1">
        <v>2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3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3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1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1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</row>
    <row r="339" spans="1:242" x14ac:dyDescent="0.25">
      <c r="A339">
        <v>16861</v>
      </c>
      <c r="B339">
        <v>26</v>
      </c>
      <c r="C339">
        <v>7</v>
      </c>
      <c r="D339" t="s">
        <v>230</v>
      </c>
      <c r="E339" t="s">
        <v>215</v>
      </c>
      <c r="F339">
        <v>9</v>
      </c>
      <c r="G339">
        <v>26.126249999999999</v>
      </c>
      <c r="H339">
        <v>10.913</v>
      </c>
      <c r="I339">
        <v>16.498440479999999</v>
      </c>
      <c r="J339">
        <v>99.983333329999994</v>
      </c>
      <c r="K339">
        <v>41.825000000000003</v>
      </c>
      <c r="L339">
        <v>84.150942459999996</v>
      </c>
      <c r="M339">
        <v>9.9099149549999996</v>
      </c>
      <c r="N339">
        <v>-2.81</v>
      </c>
      <c r="O339">
        <v>1.32</v>
      </c>
      <c r="P339" t="s">
        <v>217</v>
      </c>
      <c r="Q339" t="s">
        <v>217</v>
      </c>
      <c r="R339" t="s">
        <v>217</v>
      </c>
      <c r="S339" t="s">
        <v>216</v>
      </c>
      <c r="T339" t="s">
        <v>216</v>
      </c>
      <c r="U339" t="s">
        <v>217</v>
      </c>
      <c r="V339">
        <f t="shared" si="20"/>
        <v>12</v>
      </c>
      <c r="W339">
        <f t="shared" si="21"/>
        <v>60</v>
      </c>
      <c r="X339">
        <f t="shared" si="22"/>
        <v>1.7142857142857142</v>
      </c>
      <c r="Y339">
        <f t="shared" si="23"/>
        <v>8.5714285714285712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37</v>
      </c>
      <c r="AN339" s="1">
        <v>2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1</v>
      </c>
      <c r="BM339" s="1">
        <v>0</v>
      </c>
      <c r="BN339" s="1">
        <v>0</v>
      </c>
      <c r="BO339" s="1">
        <v>0</v>
      </c>
      <c r="BP339" s="1">
        <v>0</v>
      </c>
      <c r="BQ339" s="1">
        <v>1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1</v>
      </c>
      <c r="BX339" s="1">
        <v>0</v>
      </c>
      <c r="BY339" s="1">
        <v>2</v>
      </c>
      <c r="BZ339" s="1">
        <v>4</v>
      </c>
      <c r="CA339" s="1">
        <v>1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1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1</v>
      </c>
      <c r="CU339" s="1">
        <v>0</v>
      </c>
      <c r="CV339" s="1">
        <v>8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1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</row>
    <row r="340" spans="1:242" x14ac:dyDescent="0.25">
      <c r="A340">
        <v>16866</v>
      </c>
      <c r="B340">
        <v>16</v>
      </c>
      <c r="C340">
        <v>7</v>
      </c>
      <c r="D340" t="s">
        <v>230</v>
      </c>
      <c r="E340" t="s">
        <v>215</v>
      </c>
      <c r="F340">
        <v>8</v>
      </c>
      <c r="G340">
        <v>21.656291670000002</v>
      </c>
      <c r="H340">
        <v>7.1980925930000002</v>
      </c>
      <c r="I340">
        <v>13.567196360000001</v>
      </c>
      <c r="J340">
        <v>98.15</v>
      </c>
      <c r="K340">
        <v>48.691666669999996</v>
      </c>
      <c r="L340">
        <v>81.421341769999998</v>
      </c>
      <c r="M340">
        <v>9.8767056639999993</v>
      </c>
      <c r="N340">
        <v>-3.85</v>
      </c>
      <c r="O340">
        <v>0.94399999999999995</v>
      </c>
      <c r="P340" t="s">
        <v>217</v>
      </c>
      <c r="Q340" t="s">
        <v>217</v>
      </c>
      <c r="R340" t="s">
        <v>217</v>
      </c>
      <c r="S340" t="s">
        <v>216</v>
      </c>
      <c r="T340" t="s">
        <v>216</v>
      </c>
      <c r="U340" t="s">
        <v>217</v>
      </c>
      <c r="V340">
        <f t="shared" si="20"/>
        <v>14</v>
      </c>
      <c r="W340">
        <f t="shared" si="21"/>
        <v>55</v>
      </c>
      <c r="X340">
        <f t="shared" si="22"/>
        <v>2</v>
      </c>
      <c r="Y340">
        <f t="shared" si="23"/>
        <v>7.8571428571428568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3</v>
      </c>
      <c r="AG340" s="1">
        <v>0</v>
      </c>
      <c r="AH340" s="1">
        <v>0</v>
      </c>
      <c r="AI340" s="1">
        <v>0</v>
      </c>
      <c r="AJ340" s="1">
        <v>0</v>
      </c>
      <c r="AK340" s="1">
        <v>1</v>
      </c>
      <c r="AL340" s="1">
        <v>0</v>
      </c>
      <c r="AM340" s="1">
        <v>26</v>
      </c>
      <c r="AN340" s="1">
        <v>2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1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1</v>
      </c>
      <c r="BV340" s="1">
        <v>0</v>
      </c>
      <c r="BW340" s="1">
        <v>0</v>
      </c>
      <c r="BX340" s="1">
        <v>0</v>
      </c>
      <c r="BY340" s="1">
        <v>5</v>
      </c>
      <c r="BZ340" s="1">
        <v>1</v>
      </c>
      <c r="CA340" s="1">
        <v>3</v>
      </c>
      <c r="CB340" s="1">
        <v>0</v>
      </c>
      <c r="CC340" s="1">
        <v>0</v>
      </c>
      <c r="CD340" s="1">
        <v>4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1</v>
      </c>
      <c r="CU340" s="1">
        <v>0</v>
      </c>
      <c r="CV340" s="1">
        <v>4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1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2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</row>
    <row r="341" spans="1:242" x14ac:dyDescent="0.25">
      <c r="A341">
        <v>16868</v>
      </c>
      <c r="B341">
        <v>19</v>
      </c>
      <c r="C341">
        <v>14</v>
      </c>
      <c r="D341" t="s">
        <v>228</v>
      </c>
      <c r="E341" t="s">
        <v>215</v>
      </c>
      <c r="F341">
        <v>9</v>
      </c>
      <c r="G341">
        <v>35.816000000000003</v>
      </c>
      <c r="H341">
        <v>15.763666669999999</v>
      </c>
      <c r="I341">
        <v>23.001142359999999</v>
      </c>
      <c r="J341">
        <v>94.641666670000006</v>
      </c>
      <c r="K341">
        <v>31.983333330000001</v>
      </c>
      <c r="L341">
        <v>73.179861110000004</v>
      </c>
      <c r="M341">
        <v>11.98140669</v>
      </c>
      <c r="N341">
        <v>0.84399999999999997</v>
      </c>
      <c r="O341">
        <v>1.28</v>
      </c>
      <c r="P341" t="s">
        <v>217</v>
      </c>
      <c r="Q341" t="s">
        <v>216</v>
      </c>
      <c r="R341" t="s">
        <v>216</v>
      </c>
      <c r="S341" t="s">
        <v>216</v>
      </c>
      <c r="T341" t="s">
        <v>216</v>
      </c>
      <c r="U341" t="s">
        <v>216</v>
      </c>
      <c r="V341">
        <f t="shared" si="20"/>
        <v>37</v>
      </c>
      <c r="W341">
        <f t="shared" si="21"/>
        <v>499</v>
      </c>
      <c r="X341">
        <f t="shared" si="22"/>
        <v>2.6428571428571428</v>
      </c>
      <c r="Y341">
        <f t="shared" si="23"/>
        <v>35.642857142857146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24</v>
      </c>
      <c r="AG341" s="1">
        <v>0</v>
      </c>
      <c r="AH341" s="1">
        <v>0</v>
      </c>
      <c r="AI341" s="1">
        <v>0</v>
      </c>
      <c r="AJ341" s="1">
        <v>0</v>
      </c>
      <c r="AK341" s="1">
        <v>1</v>
      </c>
      <c r="AL341" s="1">
        <v>0</v>
      </c>
      <c r="AM341" s="1">
        <v>39</v>
      </c>
      <c r="AN341" s="1">
        <v>1</v>
      </c>
      <c r="AO341" s="1">
        <v>0</v>
      </c>
      <c r="AP341" s="1">
        <v>1</v>
      </c>
      <c r="AQ341" s="1">
        <v>0</v>
      </c>
      <c r="AR341" s="1">
        <v>0</v>
      </c>
      <c r="AS341" s="1">
        <v>0</v>
      </c>
      <c r="AT341" s="1">
        <v>1</v>
      </c>
      <c r="AU341" s="1">
        <v>0</v>
      </c>
      <c r="AV341" s="1">
        <v>0</v>
      </c>
      <c r="AW341" s="1">
        <v>0</v>
      </c>
      <c r="AX341" s="1">
        <v>6</v>
      </c>
      <c r="AY341" s="1">
        <v>0</v>
      </c>
      <c r="AZ341" s="1">
        <v>0</v>
      </c>
      <c r="BA341" s="1">
        <v>4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3</v>
      </c>
      <c r="BM341" s="1">
        <v>7</v>
      </c>
      <c r="BN341" s="1">
        <v>0</v>
      </c>
      <c r="BO341" s="1">
        <v>0</v>
      </c>
      <c r="BP341" s="1">
        <v>1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2</v>
      </c>
      <c r="BX341" s="1">
        <v>0</v>
      </c>
      <c r="BY341" s="1">
        <v>0</v>
      </c>
      <c r="BZ341" s="1">
        <v>4</v>
      </c>
      <c r="CA341" s="1">
        <v>5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76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1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87</v>
      </c>
      <c r="CU341" s="1">
        <v>0</v>
      </c>
      <c r="CV341" s="1">
        <v>27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28</v>
      </c>
      <c r="DC341" s="1">
        <v>17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4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37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47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29</v>
      </c>
      <c r="ES341" s="1">
        <v>0</v>
      </c>
      <c r="ET341" s="1">
        <v>1</v>
      </c>
      <c r="EU341" s="1">
        <v>3</v>
      </c>
      <c r="EV341" s="1">
        <v>0</v>
      </c>
      <c r="EW341" s="1">
        <v>0</v>
      </c>
      <c r="EX341" s="1">
        <v>0</v>
      </c>
      <c r="EY341" s="1">
        <v>0</v>
      </c>
      <c r="EZ341" s="1">
        <v>16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3</v>
      </c>
      <c r="FN341" s="1">
        <v>0</v>
      </c>
      <c r="FO341" s="1">
        <v>0</v>
      </c>
      <c r="FP341" s="1">
        <v>0</v>
      </c>
      <c r="FQ341" s="1">
        <v>1</v>
      </c>
      <c r="FR341" s="1">
        <v>0</v>
      </c>
      <c r="FS341" s="1">
        <v>0</v>
      </c>
      <c r="FT341" s="1">
        <v>1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3</v>
      </c>
      <c r="GB341" s="1">
        <v>0</v>
      </c>
      <c r="GC341" s="1">
        <v>0</v>
      </c>
      <c r="GD341" s="1">
        <v>0</v>
      </c>
      <c r="GE341" s="1">
        <v>3</v>
      </c>
      <c r="GF341" s="1">
        <v>1</v>
      </c>
      <c r="GG341" s="1">
        <v>0</v>
      </c>
      <c r="GH341" s="1">
        <v>4</v>
      </c>
      <c r="GI341" s="1">
        <v>0</v>
      </c>
      <c r="GJ341" s="1">
        <v>1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6</v>
      </c>
      <c r="IF341">
        <v>0</v>
      </c>
      <c r="IG341">
        <v>0</v>
      </c>
      <c r="IH341">
        <v>4</v>
      </c>
    </row>
    <row r="342" spans="1:242" x14ac:dyDescent="0.25">
      <c r="A342">
        <v>16871</v>
      </c>
      <c r="B342">
        <v>19</v>
      </c>
      <c r="C342">
        <v>7</v>
      </c>
      <c r="D342" t="s">
        <v>229</v>
      </c>
      <c r="E342" t="s">
        <v>215</v>
      </c>
      <c r="F342">
        <v>9</v>
      </c>
      <c r="G342">
        <v>30.573666670000001</v>
      </c>
      <c r="H342">
        <v>8.5971666669999998</v>
      </c>
      <c r="I342">
        <v>17.887575399999999</v>
      </c>
      <c r="J342">
        <v>95.241666670000001</v>
      </c>
      <c r="K342">
        <v>19</v>
      </c>
      <c r="L342">
        <v>67.733283729999997</v>
      </c>
      <c r="M342">
        <v>10.58987379</v>
      </c>
      <c r="N342">
        <v>-1.05</v>
      </c>
      <c r="O342">
        <v>-0.79800000000000004</v>
      </c>
      <c r="P342" t="s">
        <v>217</v>
      </c>
      <c r="Q342" t="s">
        <v>216</v>
      </c>
      <c r="R342" t="s">
        <v>216</v>
      </c>
      <c r="S342" t="s">
        <v>216</v>
      </c>
      <c r="T342" t="s">
        <v>216</v>
      </c>
      <c r="U342" t="s">
        <v>216</v>
      </c>
      <c r="V342">
        <f t="shared" si="20"/>
        <v>29</v>
      </c>
      <c r="W342">
        <f t="shared" si="21"/>
        <v>265</v>
      </c>
      <c r="X342">
        <f t="shared" si="22"/>
        <v>4.1428571428571432</v>
      </c>
      <c r="Y342">
        <f t="shared" si="23"/>
        <v>37.857142857142854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1</v>
      </c>
      <c r="AF342" s="1">
        <v>9</v>
      </c>
      <c r="AG342" s="1">
        <v>0</v>
      </c>
      <c r="AH342" s="1">
        <v>1</v>
      </c>
      <c r="AI342" s="1">
        <v>0</v>
      </c>
      <c r="AJ342" s="1">
        <v>0</v>
      </c>
      <c r="AK342" s="1">
        <v>0</v>
      </c>
      <c r="AL342" s="1">
        <v>0</v>
      </c>
      <c r="AM342" s="1">
        <v>45</v>
      </c>
      <c r="AN342" s="1">
        <v>0</v>
      </c>
      <c r="AO342" s="1">
        <v>0</v>
      </c>
      <c r="AP342" s="1">
        <v>1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2</v>
      </c>
      <c r="AY342" s="1">
        <v>0</v>
      </c>
      <c r="AZ342" s="1">
        <v>0</v>
      </c>
      <c r="BA342" s="1">
        <v>3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2</v>
      </c>
      <c r="BM342" s="1">
        <v>5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14</v>
      </c>
      <c r="CA342" s="1">
        <v>2</v>
      </c>
      <c r="CB342" s="1">
        <v>0</v>
      </c>
      <c r="CC342" s="1">
        <v>0</v>
      </c>
      <c r="CD342" s="1">
        <v>3</v>
      </c>
      <c r="CE342" s="1">
        <v>0</v>
      </c>
      <c r="CF342" s="1">
        <v>0</v>
      </c>
      <c r="CG342" s="1">
        <v>40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1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43</v>
      </c>
      <c r="CU342" s="1">
        <v>0</v>
      </c>
      <c r="CV342" s="1">
        <v>19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19</v>
      </c>
      <c r="DC342" s="1">
        <v>4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1</v>
      </c>
      <c r="DP342" s="1">
        <v>1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10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10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7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3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2</v>
      </c>
      <c r="FU342" s="1">
        <v>1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3</v>
      </c>
      <c r="IF342">
        <v>5</v>
      </c>
      <c r="IG342">
        <v>0</v>
      </c>
      <c r="IH342">
        <v>8</v>
      </c>
    </row>
    <row r="343" spans="1:242" x14ac:dyDescent="0.25">
      <c r="A343">
        <v>16876</v>
      </c>
      <c r="B343">
        <v>19</v>
      </c>
      <c r="C343">
        <v>7</v>
      </c>
      <c r="D343" t="s">
        <v>230</v>
      </c>
      <c r="E343" t="s">
        <v>215</v>
      </c>
      <c r="F343">
        <v>9</v>
      </c>
      <c r="G343">
        <v>27.842083330000001</v>
      </c>
      <c r="H343">
        <v>10.26508333</v>
      </c>
      <c r="I343">
        <v>17.016760420000001</v>
      </c>
      <c r="J343">
        <v>98.741666670000001</v>
      </c>
      <c r="K343">
        <v>39.641666669999999</v>
      </c>
      <c r="L343">
        <v>83.886210320000004</v>
      </c>
      <c r="M343">
        <v>9.9097719479999995</v>
      </c>
      <c r="N343">
        <v>-2.4700000000000002</v>
      </c>
      <c r="O343">
        <v>1.08</v>
      </c>
      <c r="P343" t="s">
        <v>217</v>
      </c>
      <c r="Q343" t="s">
        <v>216</v>
      </c>
      <c r="R343" t="s">
        <v>216</v>
      </c>
      <c r="S343" t="s">
        <v>216</v>
      </c>
      <c r="T343" t="s">
        <v>216</v>
      </c>
      <c r="U343" t="s">
        <v>216</v>
      </c>
      <c r="V343">
        <f t="shared" si="20"/>
        <v>37</v>
      </c>
      <c r="W343">
        <f t="shared" si="21"/>
        <v>498</v>
      </c>
      <c r="X343">
        <f t="shared" si="22"/>
        <v>5.2857142857142856</v>
      </c>
      <c r="Y343">
        <f t="shared" si="23"/>
        <v>71.142857142857139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8</v>
      </c>
      <c r="AG343" s="1">
        <v>0</v>
      </c>
      <c r="AH343" s="1">
        <v>2</v>
      </c>
      <c r="AI343" s="1">
        <v>0</v>
      </c>
      <c r="AJ343" s="1">
        <v>0</v>
      </c>
      <c r="AK343" s="1">
        <v>0</v>
      </c>
      <c r="AL343" s="1">
        <v>0</v>
      </c>
      <c r="AM343" s="1">
        <v>257</v>
      </c>
      <c r="AN343" s="1">
        <v>3</v>
      </c>
      <c r="AO343" s="1">
        <v>1</v>
      </c>
      <c r="AP343" s="1">
        <v>3</v>
      </c>
      <c r="AQ343" s="1">
        <v>0</v>
      </c>
      <c r="AR343" s="1">
        <v>0</v>
      </c>
      <c r="AS343" s="1">
        <v>2</v>
      </c>
      <c r="AT343" s="1">
        <v>1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9</v>
      </c>
      <c r="BB343" s="1">
        <v>0</v>
      </c>
      <c r="BC343" s="1">
        <v>1</v>
      </c>
      <c r="BD343" s="1">
        <v>0</v>
      </c>
      <c r="BE343" s="1">
        <v>0</v>
      </c>
      <c r="BF343" s="1">
        <v>0</v>
      </c>
      <c r="BG343" s="1">
        <v>3</v>
      </c>
      <c r="BH343" s="1">
        <v>0</v>
      </c>
      <c r="BI343" s="1">
        <v>0</v>
      </c>
      <c r="BJ343" s="1">
        <v>0</v>
      </c>
      <c r="BK343" s="1">
        <v>0</v>
      </c>
      <c r="BL343" s="1">
        <v>2</v>
      </c>
      <c r="BM343" s="1">
        <v>1</v>
      </c>
      <c r="BN343" s="1">
        <v>0</v>
      </c>
      <c r="BO343" s="1">
        <v>3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3</v>
      </c>
      <c r="BX343" s="1">
        <v>0</v>
      </c>
      <c r="BY343" s="1">
        <v>5</v>
      </c>
      <c r="BZ343" s="1">
        <v>47</v>
      </c>
      <c r="CA343" s="1">
        <v>5</v>
      </c>
      <c r="CB343" s="1">
        <v>3</v>
      </c>
      <c r="CC343" s="1">
        <v>0</v>
      </c>
      <c r="CD343" s="1">
        <v>6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1</v>
      </c>
      <c r="CL343" s="1">
        <v>0</v>
      </c>
      <c r="CM343" s="1">
        <v>0</v>
      </c>
      <c r="CN343" s="1">
        <v>2</v>
      </c>
      <c r="CO343" s="1">
        <v>0</v>
      </c>
      <c r="CP343" s="1">
        <v>0</v>
      </c>
      <c r="CQ343" s="1">
        <v>0</v>
      </c>
      <c r="CR343" s="1">
        <v>1</v>
      </c>
      <c r="CS343" s="1">
        <v>1</v>
      </c>
      <c r="CT343" s="1">
        <v>24</v>
      </c>
      <c r="CU343" s="1">
        <v>0</v>
      </c>
      <c r="CV343" s="1">
        <v>33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30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1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8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10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1</v>
      </c>
      <c r="ES343" s="1">
        <v>0</v>
      </c>
      <c r="ET343" s="1">
        <v>0</v>
      </c>
      <c r="EU343" s="1">
        <v>1</v>
      </c>
      <c r="EV343" s="1">
        <v>0</v>
      </c>
      <c r="EW343" s="1">
        <v>0</v>
      </c>
      <c r="EX343" s="1">
        <v>0</v>
      </c>
      <c r="EY343" s="1">
        <v>0</v>
      </c>
      <c r="EZ343" s="1">
        <v>2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>
        <v>0</v>
      </c>
      <c r="GT343">
        <v>0</v>
      </c>
      <c r="GU343">
        <v>0</v>
      </c>
      <c r="GV343">
        <v>1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1</v>
      </c>
      <c r="IE343">
        <v>0</v>
      </c>
      <c r="IF343">
        <v>3</v>
      </c>
      <c r="IG343">
        <v>0</v>
      </c>
      <c r="IH343">
        <v>13</v>
      </c>
    </row>
    <row r="344" spans="1:242" x14ac:dyDescent="0.25">
      <c r="A344">
        <v>16882</v>
      </c>
      <c r="B344">
        <v>14</v>
      </c>
      <c r="C344">
        <v>7</v>
      </c>
      <c r="D344" t="s">
        <v>230</v>
      </c>
      <c r="E344" t="s">
        <v>215</v>
      </c>
      <c r="F344">
        <v>3</v>
      </c>
      <c r="G344">
        <v>29.022416669999998</v>
      </c>
      <c r="H344">
        <v>11.378083330000001</v>
      </c>
      <c r="I344">
        <v>16.937449399999998</v>
      </c>
      <c r="J344">
        <v>100</v>
      </c>
      <c r="K344">
        <v>27.4</v>
      </c>
      <c r="L344">
        <v>78.576835320000001</v>
      </c>
      <c r="M344">
        <v>9.9081772130000001</v>
      </c>
      <c r="N344">
        <v>-2.08</v>
      </c>
      <c r="O344">
        <v>0.40899999999999997</v>
      </c>
      <c r="P344" t="s">
        <v>217</v>
      </c>
      <c r="Q344" t="s">
        <v>217</v>
      </c>
      <c r="R344" t="s">
        <v>217</v>
      </c>
      <c r="S344" t="s">
        <v>216</v>
      </c>
      <c r="T344" t="s">
        <v>216</v>
      </c>
      <c r="U344" t="s">
        <v>217</v>
      </c>
      <c r="V344">
        <f t="shared" si="20"/>
        <v>28</v>
      </c>
      <c r="W344">
        <f t="shared" si="21"/>
        <v>164</v>
      </c>
      <c r="X344">
        <f t="shared" si="22"/>
        <v>4</v>
      </c>
      <c r="Y344">
        <f t="shared" si="23"/>
        <v>23.428571428571427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5</v>
      </c>
      <c r="AG344" s="1">
        <v>0</v>
      </c>
      <c r="AH344" s="1">
        <v>3</v>
      </c>
      <c r="AI344" s="1">
        <v>0</v>
      </c>
      <c r="AJ344" s="1">
        <v>0</v>
      </c>
      <c r="AK344" s="1">
        <v>1</v>
      </c>
      <c r="AL344" s="1">
        <v>0</v>
      </c>
      <c r="AM344" s="1">
        <v>26</v>
      </c>
      <c r="AN344" s="1">
        <v>1</v>
      </c>
      <c r="AO344" s="1">
        <v>3</v>
      </c>
      <c r="AP344" s="1">
        <v>0</v>
      </c>
      <c r="AQ344" s="1">
        <v>4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1</v>
      </c>
      <c r="BA344" s="1">
        <v>1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2</v>
      </c>
      <c r="BM344" s="1">
        <v>0</v>
      </c>
      <c r="BN344" s="1">
        <v>0</v>
      </c>
      <c r="BO344" s="1">
        <v>1</v>
      </c>
      <c r="BP344" s="1">
        <v>0</v>
      </c>
      <c r="BQ344" s="1">
        <v>2</v>
      </c>
      <c r="BR344" s="1">
        <v>0</v>
      </c>
      <c r="BS344" s="1">
        <v>0</v>
      </c>
      <c r="BT344" s="1">
        <v>0</v>
      </c>
      <c r="BU344" s="1">
        <v>2</v>
      </c>
      <c r="BV344" s="1">
        <v>0</v>
      </c>
      <c r="BW344" s="1">
        <v>0</v>
      </c>
      <c r="BX344" s="1">
        <v>0</v>
      </c>
      <c r="BY344" s="1">
        <v>49</v>
      </c>
      <c r="BZ344" s="1">
        <v>7</v>
      </c>
      <c r="CA344" s="1">
        <v>0</v>
      </c>
      <c r="CB344" s="1">
        <v>2</v>
      </c>
      <c r="CC344" s="1">
        <v>5</v>
      </c>
      <c r="CD344" s="1">
        <v>8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4</v>
      </c>
      <c r="CT344" s="1">
        <v>2</v>
      </c>
      <c r="CU344" s="1">
        <v>0</v>
      </c>
      <c r="CV344" s="1">
        <v>21</v>
      </c>
      <c r="CW344" s="1">
        <v>1</v>
      </c>
      <c r="CX344" s="1">
        <v>0</v>
      </c>
      <c r="CY344" s="1">
        <v>0</v>
      </c>
      <c r="CZ344" s="1">
        <v>0</v>
      </c>
      <c r="DA344" s="1">
        <v>0</v>
      </c>
      <c r="DB344" s="1">
        <v>5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4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1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1</v>
      </c>
      <c r="EU344" s="1">
        <v>0</v>
      </c>
      <c r="EV344" s="1">
        <v>0</v>
      </c>
      <c r="EW344" s="1">
        <v>0</v>
      </c>
      <c r="EX344" s="1">
        <v>1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1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</row>
    <row r="345" spans="1:242" x14ac:dyDescent="0.25">
      <c r="A345">
        <v>16887</v>
      </c>
      <c r="B345">
        <v>23</v>
      </c>
      <c r="C345">
        <v>14</v>
      </c>
      <c r="D345" t="s">
        <v>230</v>
      </c>
      <c r="E345" t="s">
        <v>215</v>
      </c>
      <c r="F345">
        <v>5</v>
      </c>
      <c r="G345">
        <v>29.119499999999999</v>
      </c>
      <c r="H345">
        <v>8.5473333329999992</v>
      </c>
      <c r="I345">
        <v>16.542132939999998</v>
      </c>
      <c r="J345">
        <v>99.224999999999994</v>
      </c>
      <c r="K345">
        <v>31.041666670000001</v>
      </c>
      <c r="L345">
        <v>79.797321429999997</v>
      </c>
      <c r="M345">
        <v>9.9051132640000006</v>
      </c>
      <c r="N345">
        <v>-2.39</v>
      </c>
      <c r="O345">
        <v>0.28199999999999997</v>
      </c>
      <c r="P345" t="s">
        <v>217</v>
      </c>
      <c r="Q345" t="s">
        <v>217</v>
      </c>
      <c r="R345" t="s">
        <v>216</v>
      </c>
      <c r="S345" t="s">
        <v>216</v>
      </c>
      <c r="T345" t="s">
        <v>216</v>
      </c>
      <c r="U345" t="s">
        <v>217</v>
      </c>
      <c r="V345">
        <f t="shared" si="20"/>
        <v>19</v>
      </c>
      <c r="W345">
        <f t="shared" si="21"/>
        <v>131</v>
      </c>
      <c r="X345">
        <f t="shared" si="22"/>
        <v>1.3571428571428572</v>
      </c>
      <c r="Y345">
        <f t="shared" si="23"/>
        <v>9.3571428571428577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80</v>
      </c>
      <c r="AN345" s="1">
        <v>0</v>
      </c>
      <c r="AO345" s="1">
        <v>0</v>
      </c>
      <c r="AP345" s="1">
        <v>1</v>
      </c>
      <c r="AQ345" s="1">
        <v>2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</v>
      </c>
      <c r="BG345" s="1">
        <v>0</v>
      </c>
      <c r="BH345" s="1">
        <v>0</v>
      </c>
      <c r="BI345" s="1">
        <v>1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2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4</v>
      </c>
      <c r="CE345" s="1">
        <v>0</v>
      </c>
      <c r="CF345" s="1">
        <v>0</v>
      </c>
      <c r="CG345" s="1">
        <v>2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3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18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1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1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1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3</v>
      </c>
      <c r="ES345" s="1">
        <v>0</v>
      </c>
      <c r="ET345" s="1">
        <v>0</v>
      </c>
      <c r="EU345" s="1">
        <v>3</v>
      </c>
      <c r="EV345" s="1">
        <v>0</v>
      </c>
      <c r="EW345" s="1">
        <v>0</v>
      </c>
      <c r="EX345" s="1">
        <v>0</v>
      </c>
      <c r="EY345" s="1">
        <v>0</v>
      </c>
      <c r="EZ345" s="1">
        <v>3</v>
      </c>
      <c r="FA345" s="1">
        <v>0</v>
      </c>
      <c r="FB345" s="1">
        <v>0</v>
      </c>
      <c r="FC345" s="1">
        <v>2</v>
      </c>
      <c r="FD345" s="1">
        <v>0</v>
      </c>
      <c r="FE345" s="1">
        <v>0</v>
      </c>
      <c r="FF345" s="1">
        <v>0</v>
      </c>
      <c r="FG345" s="1">
        <v>2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</row>
    <row r="346" spans="1:242" x14ac:dyDescent="0.25">
      <c r="A346">
        <v>16893</v>
      </c>
      <c r="B346">
        <v>13</v>
      </c>
      <c r="C346">
        <v>7</v>
      </c>
      <c r="D346" t="s">
        <v>230</v>
      </c>
      <c r="E346" t="s">
        <v>215</v>
      </c>
      <c r="F346">
        <v>1</v>
      </c>
      <c r="G346">
        <v>22.764416669999999</v>
      </c>
      <c r="H346">
        <v>10.050416670000001</v>
      </c>
      <c r="I346">
        <v>15.083272819999999</v>
      </c>
      <c r="J346">
        <v>99.691666670000004</v>
      </c>
      <c r="K346">
        <v>39.683333330000004</v>
      </c>
      <c r="L346">
        <v>82.059672620000001</v>
      </c>
      <c r="M346">
        <v>9.9021540380000008</v>
      </c>
      <c r="N346">
        <v>-3.31</v>
      </c>
      <c r="O346">
        <v>0.98499999999999999</v>
      </c>
      <c r="P346" t="s">
        <v>217</v>
      </c>
      <c r="Q346" t="s">
        <v>217</v>
      </c>
      <c r="R346" t="s">
        <v>217</v>
      </c>
      <c r="S346" t="s">
        <v>216</v>
      </c>
      <c r="T346" t="s">
        <v>216</v>
      </c>
      <c r="U346" t="s">
        <v>217</v>
      </c>
      <c r="V346">
        <f t="shared" si="20"/>
        <v>19</v>
      </c>
      <c r="W346">
        <f t="shared" si="21"/>
        <v>175</v>
      </c>
      <c r="X346">
        <f t="shared" si="22"/>
        <v>2.7142857142857144</v>
      </c>
      <c r="Y346">
        <f t="shared" si="23"/>
        <v>25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30</v>
      </c>
      <c r="AN346" s="1">
        <v>0</v>
      </c>
      <c r="AO346" s="1">
        <v>3</v>
      </c>
      <c r="AP346" s="1">
        <v>1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2</v>
      </c>
      <c r="AX346" s="1">
        <v>0</v>
      </c>
      <c r="AY346" s="1">
        <v>0</v>
      </c>
      <c r="AZ346" s="1">
        <v>0</v>
      </c>
      <c r="BA346" s="1">
        <v>2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1</v>
      </c>
      <c r="BO346" s="1">
        <v>3</v>
      </c>
      <c r="BP346" s="1">
        <v>0</v>
      </c>
      <c r="BQ346" s="1">
        <v>1</v>
      </c>
      <c r="BR346" s="1">
        <v>0</v>
      </c>
      <c r="BS346" s="1">
        <v>0</v>
      </c>
      <c r="BT346" s="1">
        <v>0</v>
      </c>
      <c r="BU346" s="1">
        <v>0</v>
      </c>
      <c r="BV346" s="1">
        <v>37</v>
      </c>
      <c r="BW346" s="1">
        <v>0</v>
      </c>
      <c r="BX346" s="1">
        <v>0</v>
      </c>
      <c r="BY346" s="1">
        <v>20</v>
      </c>
      <c r="BZ346" s="1">
        <v>0</v>
      </c>
      <c r="CA346" s="1">
        <v>0</v>
      </c>
      <c r="CB346" s="1">
        <v>45</v>
      </c>
      <c r="CC346" s="1">
        <v>0</v>
      </c>
      <c r="CD346" s="1">
        <v>2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1</v>
      </c>
      <c r="CK346" s="1">
        <v>0</v>
      </c>
      <c r="CL346" s="1">
        <v>1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20</v>
      </c>
      <c r="CW346" s="1">
        <v>3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1</v>
      </c>
      <c r="IE346">
        <v>0</v>
      </c>
      <c r="IF346">
        <v>1</v>
      </c>
      <c r="IG346">
        <v>0</v>
      </c>
      <c r="IH346">
        <v>1</v>
      </c>
    </row>
    <row r="347" spans="1:242" x14ac:dyDescent="0.25">
      <c r="A347">
        <v>16900</v>
      </c>
      <c r="B347">
        <v>31</v>
      </c>
      <c r="C347">
        <v>7</v>
      </c>
      <c r="D347" t="s">
        <v>230</v>
      </c>
      <c r="E347" t="s">
        <v>215</v>
      </c>
      <c r="F347">
        <v>4</v>
      </c>
      <c r="G347">
        <v>25.99175</v>
      </c>
      <c r="H347">
        <v>11.6555</v>
      </c>
      <c r="I347">
        <v>16.599816959999998</v>
      </c>
      <c r="J347">
        <v>99.966666669999995</v>
      </c>
      <c r="K347">
        <v>34.716666670000002</v>
      </c>
      <c r="L347">
        <v>77.16483135</v>
      </c>
      <c r="M347">
        <v>9.9060924989999997</v>
      </c>
      <c r="N347">
        <v>-2.4700000000000002</v>
      </c>
      <c r="O347">
        <v>0.76</v>
      </c>
      <c r="P347" t="s">
        <v>217</v>
      </c>
      <c r="Q347" t="s">
        <v>216</v>
      </c>
      <c r="R347" t="s">
        <v>217</v>
      </c>
      <c r="S347" t="s">
        <v>216</v>
      </c>
      <c r="T347" t="s">
        <v>216</v>
      </c>
      <c r="U347" t="s">
        <v>217</v>
      </c>
      <c r="V347">
        <f t="shared" si="20"/>
        <v>12</v>
      </c>
      <c r="W347">
        <f t="shared" si="21"/>
        <v>49</v>
      </c>
      <c r="X347">
        <f t="shared" si="22"/>
        <v>1.7142857142857142</v>
      </c>
      <c r="Y347">
        <f t="shared" si="23"/>
        <v>7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2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12</v>
      </c>
      <c r="AN347" s="1">
        <v>0</v>
      </c>
      <c r="AO347" s="1">
        <v>2</v>
      </c>
      <c r="AP347" s="1">
        <v>0</v>
      </c>
      <c r="AQ347" s="1">
        <v>2</v>
      </c>
      <c r="AR347" s="1">
        <v>1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4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3</v>
      </c>
      <c r="BZ347" s="1">
        <v>5</v>
      </c>
      <c r="CA347" s="1">
        <v>0</v>
      </c>
      <c r="CB347" s="1">
        <v>2</v>
      </c>
      <c r="CC347" s="1">
        <v>0</v>
      </c>
      <c r="CD347" s="1">
        <v>2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2</v>
      </c>
      <c r="CU347" s="1">
        <v>0</v>
      </c>
      <c r="CV347" s="1">
        <v>12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</row>
    <row r="348" spans="1:242" x14ac:dyDescent="0.25">
      <c r="A348">
        <v>16906</v>
      </c>
      <c r="B348">
        <v>21</v>
      </c>
      <c r="C348">
        <v>7</v>
      </c>
      <c r="D348" t="s">
        <v>230</v>
      </c>
      <c r="E348" t="s">
        <v>215</v>
      </c>
      <c r="F348">
        <v>5</v>
      </c>
      <c r="G348">
        <v>27.004750000000001</v>
      </c>
      <c r="H348">
        <v>8.2603333330000002</v>
      </c>
      <c r="I348">
        <v>15.93236409</v>
      </c>
      <c r="J348">
        <v>99.924999999999997</v>
      </c>
      <c r="K348">
        <v>34.450000000000003</v>
      </c>
      <c r="L348">
        <v>80.783531749999995</v>
      </c>
      <c r="M348">
        <v>9.9004014199999997</v>
      </c>
      <c r="N348">
        <v>-2.86</v>
      </c>
      <c r="O348">
        <v>0.48799999999999999</v>
      </c>
      <c r="P348" t="s">
        <v>217</v>
      </c>
      <c r="Q348" t="s">
        <v>217</v>
      </c>
      <c r="R348" t="s">
        <v>217</v>
      </c>
      <c r="S348" t="s">
        <v>217</v>
      </c>
      <c r="T348" t="s">
        <v>217</v>
      </c>
      <c r="U348" t="s">
        <v>217</v>
      </c>
      <c r="V348">
        <f t="shared" si="20"/>
        <v>7</v>
      </c>
      <c r="W348">
        <f t="shared" si="21"/>
        <v>59</v>
      </c>
      <c r="X348">
        <f t="shared" si="22"/>
        <v>1</v>
      </c>
      <c r="Y348">
        <f t="shared" si="23"/>
        <v>8.4285714285714288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51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1</v>
      </c>
      <c r="BM348" s="1">
        <v>0</v>
      </c>
      <c r="BN348" s="1">
        <v>0</v>
      </c>
      <c r="BO348" s="1">
        <v>0</v>
      </c>
      <c r="BP348" s="1">
        <v>0</v>
      </c>
      <c r="BQ348" s="1">
        <v>1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2</v>
      </c>
      <c r="CA348" s="1">
        <v>0</v>
      </c>
      <c r="CB348" s="1">
        <v>2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1</v>
      </c>
      <c r="CT348" s="1">
        <v>0</v>
      </c>
      <c r="CU348" s="1">
        <v>0</v>
      </c>
      <c r="CV348" s="1">
        <v>1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</row>
    <row r="349" spans="1:242" x14ac:dyDescent="0.25">
      <c r="A349">
        <v>16913</v>
      </c>
      <c r="B349">
        <v>7</v>
      </c>
      <c r="C349">
        <v>7</v>
      </c>
      <c r="D349" t="s">
        <v>230</v>
      </c>
      <c r="E349" t="s">
        <v>215</v>
      </c>
      <c r="F349">
        <v>3</v>
      </c>
      <c r="G349">
        <v>27.211333329999999</v>
      </c>
      <c r="H349">
        <v>11.98491667</v>
      </c>
      <c r="I349">
        <v>16.966686509999999</v>
      </c>
      <c r="J349">
        <v>99.766666670000006</v>
      </c>
      <c r="K349">
        <v>34.950000000000003</v>
      </c>
      <c r="L349">
        <v>77.667311510000005</v>
      </c>
      <c r="M349">
        <v>9.9061472889999997</v>
      </c>
      <c r="N349">
        <v>-2.2599999999999998</v>
      </c>
      <c r="O349">
        <v>0.81899999999999995</v>
      </c>
      <c r="P349" t="s">
        <v>216</v>
      </c>
      <c r="Q349" t="s">
        <v>216</v>
      </c>
      <c r="R349" t="s">
        <v>217</v>
      </c>
      <c r="S349" t="s">
        <v>216</v>
      </c>
      <c r="T349" t="s">
        <v>216</v>
      </c>
      <c r="U349" t="s">
        <v>217</v>
      </c>
      <c r="V349">
        <f t="shared" si="20"/>
        <v>20</v>
      </c>
      <c r="W349">
        <f t="shared" si="21"/>
        <v>124</v>
      </c>
      <c r="X349">
        <f t="shared" si="22"/>
        <v>2.8571428571428572</v>
      </c>
      <c r="Y349">
        <f t="shared" si="23"/>
        <v>17.714285714285715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2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55</v>
      </c>
      <c r="AN349" s="1">
        <v>0</v>
      </c>
      <c r="AO349" s="1">
        <v>4</v>
      </c>
      <c r="AP349" s="1">
        <v>0</v>
      </c>
      <c r="AQ349" s="1">
        <v>2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1</v>
      </c>
      <c r="BM349" s="1">
        <v>0</v>
      </c>
      <c r="BN349" s="1">
        <v>2</v>
      </c>
      <c r="BO349" s="1">
        <v>8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8</v>
      </c>
      <c r="BZ349" s="1">
        <v>8</v>
      </c>
      <c r="CA349" s="1">
        <v>0</v>
      </c>
      <c r="CB349" s="1">
        <v>4</v>
      </c>
      <c r="CC349" s="1">
        <v>0</v>
      </c>
      <c r="CD349" s="1">
        <v>1</v>
      </c>
      <c r="CE349" s="1">
        <v>0</v>
      </c>
      <c r="CF349" s="1">
        <v>0</v>
      </c>
      <c r="CG349" s="1">
        <v>1</v>
      </c>
      <c r="CH349" s="1">
        <v>0</v>
      </c>
      <c r="CI349" s="1">
        <v>0</v>
      </c>
      <c r="CJ349" s="1">
        <v>0</v>
      </c>
      <c r="CK349" s="1">
        <v>0</v>
      </c>
      <c r="CL349" s="1">
        <v>1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1</v>
      </c>
      <c r="CT349" s="1">
        <v>2</v>
      </c>
      <c r="CU349" s="1">
        <v>0</v>
      </c>
      <c r="CV349" s="1">
        <v>15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5</v>
      </c>
      <c r="DC349" s="1">
        <v>1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2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1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</row>
    <row r="350" spans="1:242" x14ac:dyDescent="0.25">
      <c r="A350">
        <v>16920</v>
      </c>
      <c r="B350">
        <v>17</v>
      </c>
      <c r="C350">
        <v>7</v>
      </c>
      <c r="D350" t="s">
        <v>230</v>
      </c>
      <c r="E350" t="s">
        <v>215</v>
      </c>
      <c r="F350">
        <v>6</v>
      </c>
      <c r="G350">
        <v>25.254416670000001</v>
      </c>
      <c r="H350">
        <v>9.4083333329999999</v>
      </c>
      <c r="I350">
        <v>15.612851190000001</v>
      </c>
      <c r="J350">
        <v>98.375</v>
      </c>
      <c r="K350">
        <v>36.733333330000001</v>
      </c>
      <c r="L350">
        <v>79.278918649999994</v>
      </c>
      <c r="M350">
        <v>9.9013336820000006</v>
      </c>
      <c r="N350">
        <v>-2.8</v>
      </c>
      <c r="O350">
        <v>0.58799999999999997</v>
      </c>
      <c r="P350" t="s">
        <v>216</v>
      </c>
      <c r="Q350" t="s">
        <v>217</v>
      </c>
      <c r="R350" t="s">
        <v>217</v>
      </c>
      <c r="S350" t="s">
        <v>217</v>
      </c>
      <c r="T350" t="s">
        <v>217</v>
      </c>
      <c r="U350" t="s">
        <v>216</v>
      </c>
      <c r="V350">
        <f t="shared" si="20"/>
        <v>19</v>
      </c>
      <c r="W350">
        <f t="shared" si="21"/>
        <v>202</v>
      </c>
      <c r="X350">
        <f t="shared" si="22"/>
        <v>2.7142857142857144</v>
      </c>
      <c r="Y350">
        <f t="shared" si="23"/>
        <v>28.857142857142858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0</v>
      </c>
      <c r="AL350" s="1">
        <v>0</v>
      </c>
      <c r="AM350" s="1">
        <v>145</v>
      </c>
      <c r="AN350" s="1">
        <v>2</v>
      </c>
      <c r="AO350" s="1">
        <v>4</v>
      </c>
      <c r="AP350" s="1">
        <v>0</v>
      </c>
      <c r="AQ350" s="1">
        <v>2</v>
      </c>
      <c r="AR350" s="1">
        <v>0</v>
      </c>
      <c r="AS350" s="1">
        <v>0</v>
      </c>
      <c r="AT350" s="1">
        <v>1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1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2</v>
      </c>
      <c r="BM350" s="1">
        <v>0</v>
      </c>
      <c r="BN350" s="1">
        <v>1</v>
      </c>
      <c r="BO350" s="1">
        <v>1</v>
      </c>
      <c r="BP350" s="1">
        <v>0</v>
      </c>
      <c r="BQ350" s="1">
        <v>1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6</v>
      </c>
      <c r="BZ350" s="1">
        <v>0</v>
      </c>
      <c r="CA350" s="1">
        <v>1</v>
      </c>
      <c r="CB350" s="1">
        <v>3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1</v>
      </c>
      <c r="CT350" s="1">
        <v>0</v>
      </c>
      <c r="CU350" s="1">
        <v>0</v>
      </c>
      <c r="CV350" s="1">
        <v>8</v>
      </c>
      <c r="CW350" s="1">
        <v>2</v>
      </c>
      <c r="CX350" s="1">
        <v>0</v>
      </c>
      <c r="CY350" s="1">
        <v>0</v>
      </c>
      <c r="CZ350" s="1">
        <v>0</v>
      </c>
      <c r="DA350" s="1">
        <v>0</v>
      </c>
      <c r="DB350" s="1">
        <v>13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7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</row>
    <row r="351" spans="1:242" x14ac:dyDescent="0.25">
      <c r="A351">
        <v>16927</v>
      </c>
      <c r="B351">
        <v>27</v>
      </c>
      <c r="C351">
        <v>7</v>
      </c>
      <c r="D351" t="s">
        <v>230</v>
      </c>
      <c r="E351" t="s">
        <v>215</v>
      </c>
      <c r="F351">
        <v>3</v>
      </c>
      <c r="G351">
        <v>24.56733333</v>
      </c>
      <c r="H351">
        <v>12.616</v>
      </c>
      <c r="I351">
        <v>16.54028323</v>
      </c>
      <c r="J351">
        <v>99.208333330000002</v>
      </c>
      <c r="K351">
        <v>38.700000000000003</v>
      </c>
      <c r="L351">
        <v>78.320783730000002</v>
      </c>
      <c r="M351">
        <v>9.9053629609999998</v>
      </c>
      <c r="N351">
        <v>-2.54</v>
      </c>
      <c r="O351">
        <v>1.08</v>
      </c>
      <c r="P351" t="s">
        <v>217</v>
      </c>
      <c r="Q351" t="s">
        <v>217</v>
      </c>
      <c r="R351" t="s">
        <v>217</v>
      </c>
      <c r="S351" t="s">
        <v>217</v>
      </c>
      <c r="T351" t="s">
        <v>217</v>
      </c>
      <c r="U351" t="s">
        <v>216</v>
      </c>
      <c r="V351">
        <f t="shared" si="20"/>
        <v>5</v>
      </c>
      <c r="W351">
        <f t="shared" si="21"/>
        <v>22</v>
      </c>
      <c r="X351">
        <f t="shared" si="22"/>
        <v>0.7142857142857143</v>
      </c>
      <c r="Y351">
        <f t="shared" si="23"/>
        <v>3.1428571428571428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1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1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12</v>
      </c>
      <c r="BZ351" s="1">
        <v>0</v>
      </c>
      <c r="CA351" s="1">
        <v>0</v>
      </c>
      <c r="CB351" s="1">
        <v>0</v>
      </c>
      <c r="CC351" s="1">
        <v>0</v>
      </c>
      <c r="CD351" s="1">
        <v>7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1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</row>
    <row r="352" spans="1:242" x14ac:dyDescent="0.25">
      <c r="A352">
        <v>16934</v>
      </c>
      <c r="B352">
        <v>9</v>
      </c>
      <c r="C352">
        <v>7</v>
      </c>
      <c r="D352" t="s">
        <v>230</v>
      </c>
      <c r="E352" t="s">
        <v>215</v>
      </c>
      <c r="F352">
        <v>5</v>
      </c>
      <c r="G352">
        <v>23.75941667</v>
      </c>
      <c r="H352">
        <v>11.11033333</v>
      </c>
      <c r="I352">
        <v>16.165604170000002</v>
      </c>
      <c r="J352">
        <v>99.95</v>
      </c>
      <c r="K352">
        <v>42.683333330000004</v>
      </c>
      <c r="L352">
        <v>82.266170630000005</v>
      </c>
      <c r="M352">
        <v>9.9060916779999992</v>
      </c>
      <c r="N352">
        <v>-3.04</v>
      </c>
      <c r="O352">
        <v>1.31</v>
      </c>
      <c r="P352" t="s">
        <v>217</v>
      </c>
      <c r="Q352" t="s">
        <v>217</v>
      </c>
      <c r="R352" t="s">
        <v>216</v>
      </c>
      <c r="S352" t="s">
        <v>217</v>
      </c>
      <c r="T352" t="s">
        <v>217</v>
      </c>
      <c r="U352" t="s">
        <v>216</v>
      </c>
      <c r="V352">
        <f t="shared" si="20"/>
        <v>10</v>
      </c>
      <c r="W352">
        <f t="shared" si="21"/>
        <v>63</v>
      </c>
      <c r="X352">
        <f t="shared" si="22"/>
        <v>1.4285714285714286</v>
      </c>
      <c r="Y352">
        <f t="shared" si="23"/>
        <v>9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44</v>
      </c>
      <c r="AN352" s="1">
        <v>0</v>
      </c>
      <c r="AO352" s="1">
        <v>1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1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2</v>
      </c>
      <c r="BM352" s="1">
        <v>0</v>
      </c>
      <c r="BN352" s="1">
        <v>0</v>
      </c>
      <c r="BO352" s="1">
        <v>0</v>
      </c>
      <c r="BP352" s="1">
        <v>0</v>
      </c>
      <c r="BQ352" s="1">
        <v>3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1</v>
      </c>
      <c r="CC352" s="1">
        <v>2</v>
      </c>
      <c r="CD352" s="1">
        <v>5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1</v>
      </c>
      <c r="CU352" s="1">
        <v>0</v>
      </c>
      <c r="CV352" s="1">
        <v>3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</row>
    <row r="353" spans="1:242" x14ac:dyDescent="0.25">
      <c r="A353">
        <v>16941</v>
      </c>
      <c r="B353">
        <v>24</v>
      </c>
      <c r="C353">
        <v>7</v>
      </c>
      <c r="D353" t="s">
        <v>230</v>
      </c>
      <c r="E353" t="s">
        <v>215</v>
      </c>
      <c r="F353">
        <v>3</v>
      </c>
      <c r="G353">
        <v>19.500083329999999</v>
      </c>
      <c r="H353">
        <v>10.974166670000001</v>
      </c>
      <c r="I353">
        <v>15.06866716</v>
      </c>
      <c r="J353">
        <v>99.775000000000006</v>
      </c>
      <c r="K353">
        <v>32.833333330000002</v>
      </c>
      <c r="L353">
        <v>81.978323410000002</v>
      </c>
      <c r="M353">
        <v>9.9032804369999994</v>
      </c>
      <c r="N353">
        <v>-3.46</v>
      </c>
      <c r="O353">
        <v>0.80500000000000005</v>
      </c>
      <c r="P353" t="s">
        <v>217</v>
      </c>
      <c r="Q353" t="s">
        <v>217</v>
      </c>
      <c r="R353" t="s">
        <v>217</v>
      </c>
      <c r="S353" t="s">
        <v>217</v>
      </c>
      <c r="T353" t="s">
        <v>217</v>
      </c>
      <c r="U353" t="s">
        <v>217</v>
      </c>
      <c r="V353">
        <f t="shared" si="20"/>
        <v>14</v>
      </c>
      <c r="W353">
        <f t="shared" si="21"/>
        <v>69</v>
      </c>
      <c r="X353">
        <f t="shared" si="22"/>
        <v>2</v>
      </c>
      <c r="Y353">
        <f t="shared" si="23"/>
        <v>9.8571428571428577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30</v>
      </c>
      <c r="AN353" s="1">
        <v>0</v>
      </c>
      <c r="AO353" s="1">
        <v>2</v>
      </c>
      <c r="AP353" s="1">
        <v>0</v>
      </c>
      <c r="AQ353" s="1">
        <v>1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1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2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3</v>
      </c>
      <c r="BZ353" s="1">
        <v>7</v>
      </c>
      <c r="CA353" s="1">
        <v>0</v>
      </c>
      <c r="CB353" s="1">
        <v>3</v>
      </c>
      <c r="CC353" s="1">
        <v>0</v>
      </c>
      <c r="CD353" s="1">
        <v>1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2</v>
      </c>
      <c r="CT353" s="1">
        <v>0</v>
      </c>
      <c r="CU353" s="1">
        <v>0</v>
      </c>
      <c r="CV353" s="1">
        <v>9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6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1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</row>
    <row r="354" spans="1:242" x14ac:dyDescent="0.25">
      <c r="A354">
        <v>16948</v>
      </c>
      <c r="B354">
        <v>29</v>
      </c>
      <c r="C354">
        <v>7</v>
      </c>
      <c r="D354" t="s">
        <v>230</v>
      </c>
      <c r="E354" t="s">
        <v>215</v>
      </c>
      <c r="F354">
        <v>3</v>
      </c>
      <c r="G354">
        <v>27.415083330000002</v>
      </c>
      <c r="H354">
        <v>11.77858333</v>
      </c>
      <c r="I354">
        <v>16.942785220000001</v>
      </c>
      <c r="J354">
        <v>99.308333329999996</v>
      </c>
      <c r="K354">
        <v>30.266666669999999</v>
      </c>
      <c r="L354">
        <v>75.409722220000006</v>
      </c>
      <c r="M354">
        <v>9.9043874110000001</v>
      </c>
      <c r="N354">
        <v>-2.09</v>
      </c>
      <c r="O354">
        <v>0.44900000000000001</v>
      </c>
      <c r="P354" t="s">
        <v>217</v>
      </c>
      <c r="Q354" t="s">
        <v>217</v>
      </c>
      <c r="R354" t="s">
        <v>217</v>
      </c>
      <c r="S354" t="s">
        <v>217</v>
      </c>
      <c r="T354" t="s">
        <v>217</v>
      </c>
      <c r="U354" t="s">
        <v>217</v>
      </c>
      <c r="V354">
        <f t="shared" si="20"/>
        <v>9</v>
      </c>
      <c r="W354">
        <f t="shared" si="21"/>
        <v>38</v>
      </c>
      <c r="X354">
        <f t="shared" si="22"/>
        <v>1.2857142857142858</v>
      </c>
      <c r="Y354">
        <f t="shared" si="23"/>
        <v>5.4285714285714288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13</v>
      </c>
      <c r="AN354" s="1">
        <v>0</v>
      </c>
      <c r="AO354" s="1">
        <v>2</v>
      </c>
      <c r="AP354" s="1">
        <v>0</v>
      </c>
      <c r="AQ354" s="1">
        <v>2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3</v>
      </c>
      <c r="BZ354" s="1">
        <v>2</v>
      </c>
      <c r="CA354" s="1">
        <v>0</v>
      </c>
      <c r="CB354" s="1">
        <v>1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6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2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7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</row>
    <row r="355" spans="1:242" x14ac:dyDescent="0.25">
      <c r="A355">
        <v>16955</v>
      </c>
      <c r="B355">
        <v>30</v>
      </c>
      <c r="C355">
        <v>7</v>
      </c>
      <c r="D355" t="s">
        <v>230</v>
      </c>
      <c r="E355" t="s">
        <v>215</v>
      </c>
      <c r="F355">
        <v>3</v>
      </c>
      <c r="G355">
        <v>24.83925</v>
      </c>
      <c r="H355">
        <v>11.77491667</v>
      </c>
      <c r="I355">
        <v>16.71347669</v>
      </c>
      <c r="J355">
        <v>100</v>
      </c>
      <c r="K355">
        <v>33.991666670000001</v>
      </c>
      <c r="L355">
        <v>76.351537699999994</v>
      </c>
      <c r="M355">
        <v>9.9041764689999994</v>
      </c>
      <c r="N355">
        <v>-2.5299999999999998</v>
      </c>
      <c r="O355">
        <v>0.73099999999999998</v>
      </c>
      <c r="P355" t="s">
        <v>217</v>
      </c>
      <c r="Q355" t="s">
        <v>217</v>
      </c>
      <c r="R355" t="s">
        <v>217</v>
      </c>
      <c r="S355" t="s">
        <v>216</v>
      </c>
      <c r="T355" t="s">
        <v>217</v>
      </c>
      <c r="U355" t="s">
        <v>217</v>
      </c>
      <c r="V355">
        <f t="shared" si="20"/>
        <v>23</v>
      </c>
      <c r="W355">
        <f t="shared" si="21"/>
        <v>90</v>
      </c>
      <c r="X355">
        <f t="shared" si="22"/>
        <v>3.2857142857142856</v>
      </c>
      <c r="Y355">
        <f t="shared" si="23"/>
        <v>12.857142857142858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2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41</v>
      </c>
      <c r="AN355" s="1">
        <v>1</v>
      </c>
      <c r="AO355" s="1">
        <v>0</v>
      </c>
      <c r="AP355" s="1">
        <v>0</v>
      </c>
      <c r="AQ355" s="1">
        <v>1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2</v>
      </c>
      <c r="BM355" s="1">
        <v>0</v>
      </c>
      <c r="BN355" s="1">
        <v>2</v>
      </c>
      <c r="BO355" s="1">
        <v>1</v>
      </c>
      <c r="BP355" s="1">
        <v>0</v>
      </c>
      <c r="BQ355" s="1">
        <v>0</v>
      </c>
      <c r="BR355" s="1">
        <v>0</v>
      </c>
      <c r="BS355" s="1">
        <v>1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1</v>
      </c>
      <c r="BZ355" s="1">
        <v>1</v>
      </c>
      <c r="CA355" s="1">
        <v>0</v>
      </c>
      <c r="CB355" s="1">
        <v>2</v>
      </c>
      <c r="CC355" s="1">
        <v>0</v>
      </c>
      <c r="CD355" s="1">
        <v>6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1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2</v>
      </c>
      <c r="CS355" s="1">
        <v>0</v>
      </c>
      <c r="CT355" s="1">
        <v>1</v>
      </c>
      <c r="CU355" s="1">
        <v>0</v>
      </c>
      <c r="CV355" s="1">
        <v>14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2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1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3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1</v>
      </c>
      <c r="FH355" s="1">
        <v>0</v>
      </c>
      <c r="FI355" s="1">
        <v>0</v>
      </c>
      <c r="FJ355" s="1">
        <v>1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2</v>
      </c>
      <c r="IG355">
        <v>0</v>
      </c>
      <c r="IH355">
        <v>1</v>
      </c>
    </row>
    <row r="356" spans="1:242" x14ac:dyDescent="0.25">
      <c r="A356">
        <v>16962</v>
      </c>
      <c r="B356">
        <v>28</v>
      </c>
      <c r="C356">
        <v>7</v>
      </c>
      <c r="D356" t="s">
        <v>230</v>
      </c>
      <c r="E356" t="s">
        <v>215</v>
      </c>
      <c r="F356">
        <v>6</v>
      </c>
      <c r="G356">
        <v>28.473416669999999</v>
      </c>
      <c r="H356">
        <v>8.3708333330000002</v>
      </c>
      <c r="I356">
        <v>16.264650790000001</v>
      </c>
      <c r="J356">
        <v>99.441666670000004</v>
      </c>
      <c r="K356">
        <v>31.375</v>
      </c>
      <c r="L356">
        <v>79.925942460000002</v>
      </c>
      <c r="M356">
        <v>9.9038853049999993</v>
      </c>
      <c r="N356">
        <v>-2.54</v>
      </c>
      <c r="O356">
        <v>0.28899999999999998</v>
      </c>
      <c r="P356" t="s">
        <v>216</v>
      </c>
      <c r="Q356" t="s">
        <v>217</v>
      </c>
      <c r="R356" t="s">
        <v>217</v>
      </c>
      <c r="S356" t="s">
        <v>217</v>
      </c>
      <c r="T356" t="s">
        <v>217</v>
      </c>
      <c r="U356" t="s">
        <v>216</v>
      </c>
      <c r="V356">
        <f t="shared" si="20"/>
        <v>28</v>
      </c>
      <c r="W356">
        <f t="shared" si="21"/>
        <v>334</v>
      </c>
      <c r="X356">
        <f t="shared" si="22"/>
        <v>4</v>
      </c>
      <c r="Y356">
        <f t="shared" si="23"/>
        <v>47.714285714285715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2</v>
      </c>
      <c r="AG356" s="1">
        <v>0</v>
      </c>
      <c r="AH356" s="1">
        <v>4</v>
      </c>
      <c r="AI356" s="1">
        <v>0</v>
      </c>
      <c r="AJ356" s="1">
        <v>0</v>
      </c>
      <c r="AK356" s="1">
        <v>0</v>
      </c>
      <c r="AL356" s="1">
        <v>0</v>
      </c>
      <c r="AM356" s="1">
        <v>186</v>
      </c>
      <c r="AN356" s="1">
        <v>0</v>
      </c>
      <c r="AO356" s="1">
        <v>4</v>
      </c>
      <c r="AP356" s="1">
        <v>1</v>
      </c>
      <c r="AQ356" s="1">
        <v>0</v>
      </c>
      <c r="AR356" s="1">
        <v>0</v>
      </c>
      <c r="AS356" s="1">
        <v>0</v>
      </c>
      <c r="AT356" s="1">
        <v>1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3</v>
      </c>
      <c r="BB356" s="1">
        <v>1</v>
      </c>
      <c r="BC356" s="1">
        <v>0</v>
      </c>
      <c r="BD356" s="1">
        <v>0</v>
      </c>
      <c r="BE356" s="1">
        <v>1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4</v>
      </c>
      <c r="BM356" s="1">
        <v>0</v>
      </c>
      <c r="BN356" s="1">
        <v>0</v>
      </c>
      <c r="BO356" s="1">
        <v>0</v>
      </c>
      <c r="BP356" s="1">
        <v>0</v>
      </c>
      <c r="BQ356" s="1">
        <v>1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1</v>
      </c>
      <c r="BX356" s="1">
        <v>0</v>
      </c>
      <c r="BY356" s="1">
        <v>5</v>
      </c>
      <c r="BZ356" s="1">
        <v>5</v>
      </c>
      <c r="CA356" s="1">
        <v>1</v>
      </c>
      <c r="CB356" s="1">
        <v>1</v>
      </c>
      <c r="CC356" s="1">
        <v>0</v>
      </c>
      <c r="CD356" s="1">
        <v>11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1</v>
      </c>
      <c r="CK356" s="1">
        <v>0</v>
      </c>
      <c r="CL356" s="1">
        <v>0</v>
      </c>
      <c r="CM356" s="1">
        <v>0</v>
      </c>
      <c r="CN356" s="1">
        <v>0</v>
      </c>
      <c r="CO356" s="1">
        <v>1</v>
      </c>
      <c r="CP356" s="1">
        <v>0</v>
      </c>
      <c r="CQ356" s="1">
        <v>0</v>
      </c>
      <c r="CR356" s="1">
        <v>0</v>
      </c>
      <c r="CS356" s="1">
        <v>0</v>
      </c>
      <c r="CT356" s="1">
        <v>3</v>
      </c>
      <c r="CU356" s="1">
        <v>0</v>
      </c>
      <c r="CV356" s="1">
        <v>16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63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9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1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1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1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1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5</v>
      </c>
    </row>
    <row r="357" spans="1:242" x14ac:dyDescent="0.25">
      <c r="A357">
        <v>16969</v>
      </c>
      <c r="B357">
        <v>3</v>
      </c>
      <c r="C357">
        <v>7</v>
      </c>
      <c r="D357" t="s">
        <v>230</v>
      </c>
      <c r="E357" t="s">
        <v>215</v>
      </c>
      <c r="F357">
        <v>9</v>
      </c>
      <c r="G357">
        <v>22.030583329999999</v>
      </c>
      <c r="H357">
        <v>8.1739166670000003</v>
      </c>
      <c r="I357">
        <v>14.46756895</v>
      </c>
      <c r="J357">
        <v>97.325000000000003</v>
      </c>
      <c r="K357">
        <v>41.641666669999999</v>
      </c>
      <c r="L357">
        <v>78.142013890000001</v>
      </c>
      <c r="M357">
        <v>9.8819545959999999</v>
      </c>
      <c r="N357">
        <v>-3.34</v>
      </c>
      <c r="O357">
        <v>0.57799999999999996</v>
      </c>
      <c r="P357" t="s">
        <v>216</v>
      </c>
      <c r="Q357" t="s">
        <v>217</v>
      </c>
      <c r="R357" t="s">
        <v>217</v>
      </c>
      <c r="S357" t="s">
        <v>217</v>
      </c>
      <c r="T357" t="s">
        <v>217</v>
      </c>
      <c r="U357" t="s">
        <v>216</v>
      </c>
      <c r="V357">
        <f t="shared" si="20"/>
        <v>26</v>
      </c>
      <c r="W357">
        <f t="shared" si="21"/>
        <v>283</v>
      </c>
      <c r="X357">
        <f t="shared" si="22"/>
        <v>3.7142857142857144</v>
      </c>
      <c r="Y357">
        <f t="shared" si="23"/>
        <v>40.428571428571431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8</v>
      </c>
      <c r="AL357" s="1">
        <v>0</v>
      </c>
      <c r="AM357" s="1">
        <v>181</v>
      </c>
      <c r="AN357" s="1">
        <v>0</v>
      </c>
      <c r="AO357" s="1">
        <v>0</v>
      </c>
      <c r="AP357" s="1">
        <v>0</v>
      </c>
      <c r="AQ357" s="1">
        <v>2</v>
      </c>
      <c r="AR357" s="1">
        <v>3</v>
      </c>
      <c r="AS357" s="1">
        <v>0</v>
      </c>
      <c r="AT357" s="1">
        <v>1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1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3</v>
      </c>
      <c r="BM357" s="1">
        <v>2</v>
      </c>
      <c r="BN357" s="1">
        <v>0</v>
      </c>
      <c r="BO357" s="1">
        <v>5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5</v>
      </c>
      <c r="BX357" s="1">
        <v>0</v>
      </c>
      <c r="BY357" s="1">
        <v>1</v>
      </c>
      <c r="BZ357" s="1">
        <v>6</v>
      </c>
      <c r="CA357" s="1">
        <v>2</v>
      </c>
      <c r="CB357" s="1">
        <v>0</v>
      </c>
      <c r="CC357" s="1">
        <v>1</v>
      </c>
      <c r="CD357" s="1">
        <v>4</v>
      </c>
      <c r="CE357" s="1">
        <v>0</v>
      </c>
      <c r="CF357" s="1">
        <v>0</v>
      </c>
      <c r="CG357" s="1">
        <v>0</v>
      </c>
      <c r="CH357" s="1">
        <v>0</v>
      </c>
      <c r="CI357" s="1">
        <v>1</v>
      </c>
      <c r="CJ357" s="1">
        <v>0</v>
      </c>
      <c r="CK357" s="1">
        <v>0</v>
      </c>
      <c r="CL357" s="1">
        <v>0</v>
      </c>
      <c r="CM357" s="1">
        <v>0</v>
      </c>
      <c r="CN357" s="1">
        <v>1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2</v>
      </c>
      <c r="CU357" s="1">
        <v>0</v>
      </c>
      <c r="CV357" s="1">
        <v>20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28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1</v>
      </c>
      <c r="DP357" s="1">
        <v>1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1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1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1</v>
      </c>
      <c r="IG357">
        <v>0</v>
      </c>
      <c r="IH357">
        <v>1</v>
      </c>
    </row>
    <row r="358" spans="1:242" x14ac:dyDescent="0.25">
      <c r="A358">
        <v>16973</v>
      </c>
      <c r="B358">
        <v>15</v>
      </c>
      <c r="C358">
        <v>7</v>
      </c>
      <c r="D358" t="s">
        <v>230</v>
      </c>
      <c r="E358" t="s">
        <v>215</v>
      </c>
      <c r="F358">
        <v>9</v>
      </c>
      <c r="G358">
        <v>27.379000000000001</v>
      </c>
      <c r="H358">
        <v>9.4761666669999993</v>
      </c>
      <c r="I358">
        <v>16.7588626</v>
      </c>
      <c r="J358">
        <v>98.616666670000001</v>
      </c>
      <c r="K358">
        <v>39.858333330000001</v>
      </c>
      <c r="L358">
        <v>85.565476189999998</v>
      </c>
      <c r="M358">
        <v>9.9252184289999992</v>
      </c>
      <c r="N358">
        <v>-2.66</v>
      </c>
      <c r="O358">
        <v>1.07</v>
      </c>
      <c r="P358" t="s">
        <v>216</v>
      </c>
      <c r="Q358" t="s">
        <v>217</v>
      </c>
      <c r="R358" t="s">
        <v>217</v>
      </c>
      <c r="S358" t="s">
        <v>217</v>
      </c>
      <c r="T358" t="s">
        <v>217</v>
      </c>
      <c r="U358" t="s">
        <v>216</v>
      </c>
      <c r="V358">
        <f t="shared" si="20"/>
        <v>20</v>
      </c>
      <c r="W358">
        <f t="shared" si="21"/>
        <v>156</v>
      </c>
      <c r="X358">
        <f t="shared" si="22"/>
        <v>2.8571428571428572</v>
      </c>
      <c r="Y358">
        <f t="shared" si="23"/>
        <v>22.285714285714285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57</v>
      </c>
      <c r="AN358" s="1">
        <v>0</v>
      </c>
      <c r="AO358" s="1">
        <v>0</v>
      </c>
      <c r="AP358" s="1">
        <v>0</v>
      </c>
      <c r="AQ358" s="1">
        <v>1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2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1</v>
      </c>
      <c r="BM358" s="1">
        <v>0</v>
      </c>
      <c r="BN358" s="1">
        <v>0</v>
      </c>
      <c r="BO358" s="1">
        <v>1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5</v>
      </c>
      <c r="CA358" s="1">
        <v>5</v>
      </c>
      <c r="CB358" s="1">
        <v>5</v>
      </c>
      <c r="CC358" s="1">
        <v>0</v>
      </c>
      <c r="CD358" s="1">
        <v>12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1</v>
      </c>
      <c r="CL358" s="1">
        <v>0</v>
      </c>
      <c r="CM358" s="1">
        <v>0</v>
      </c>
      <c r="CN358" s="1">
        <v>13</v>
      </c>
      <c r="CO358" s="1">
        <v>0</v>
      </c>
      <c r="CP358" s="1">
        <v>0</v>
      </c>
      <c r="CQ358" s="1">
        <v>0</v>
      </c>
      <c r="CR358" s="1">
        <v>6</v>
      </c>
      <c r="CS358" s="1">
        <v>0</v>
      </c>
      <c r="CT358" s="1">
        <v>7</v>
      </c>
      <c r="CU358" s="1">
        <v>0</v>
      </c>
      <c r="CV358" s="1">
        <v>7</v>
      </c>
      <c r="CW358" s="1">
        <v>5</v>
      </c>
      <c r="CX358" s="1">
        <v>0</v>
      </c>
      <c r="CY358" s="1">
        <v>0</v>
      </c>
      <c r="CZ358" s="1">
        <v>0</v>
      </c>
      <c r="DA358" s="1">
        <v>0</v>
      </c>
      <c r="DB358" s="1">
        <v>12</v>
      </c>
      <c r="DC358" s="1">
        <v>1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9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3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3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</row>
    <row r="359" spans="1:242" x14ac:dyDescent="0.25">
      <c r="A359">
        <v>16984</v>
      </c>
      <c r="B359">
        <v>5</v>
      </c>
      <c r="C359">
        <v>7</v>
      </c>
      <c r="D359" t="s">
        <v>230</v>
      </c>
      <c r="E359" t="s">
        <v>215</v>
      </c>
      <c r="F359">
        <v>3</v>
      </c>
      <c r="G359">
        <v>27.457916669999999</v>
      </c>
      <c r="H359">
        <v>12.27783333</v>
      </c>
      <c r="I359">
        <v>17.05375248</v>
      </c>
      <c r="J359">
        <v>99.7</v>
      </c>
      <c r="K359">
        <v>33.691666669999996</v>
      </c>
      <c r="L359">
        <v>77.591220239999998</v>
      </c>
      <c r="M359">
        <v>9.9069176470000002</v>
      </c>
      <c r="N359">
        <v>-2.17</v>
      </c>
      <c r="O359">
        <v>0.78400000000000003</v>
      </c>
      <c r="P359" t="s">
        <v>216</v>
      </c>
      <c r="Q359" t="s">
        <v>216</v>
      </c>
      <c r="R359" t="s">
        <v>216</v>
      </c>
      <c r="S359" t="s">
        <v>217</v>
      </c>
      <c r="T359" t="s">
        <v>217</v>
      </c>
      <c r="U359" t="s">
        <v>216</v>
      </c>
      <c r="V359">
        <f t="shared" si="20"/>
        <v>10</v>
      </c>
      <c r="W359">
        <f t="shared" si="21"/>
        <v>38</v>
      </c>
      <c r="X359">
        <f t="shared" si="22"/>
        <v>1.4285714285714286</v>
      </c>
      <c r="Y359">
        <f t="shared" si="23"/>
        <v>5.4285714285714288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9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4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7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6</v>
      </c>
      <c r="BZ359" s="1">
        <v>1</v>
      </c>
      <c r="CA359" s="1">
        <v>3</v>
      </c>
      <c r="CB359" s="1">
        <v>0</v>
      </c>
      <c r="CC359" s="1">
        <v>0</v>
      </c>
      <c r="CD359" s="1">
        <v>2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1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4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1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</row>
    <row r="360" spans="1:242" x14ac:dyDescent="0.25">
      <c r="A360">
        <v>17004</v>
      </c>
      <c r="B360">
        <v>4</v>
      </c>
      <c r="C360">
        <v>7</v>
      </c>
      <c r="D360" t="s">
        <v>230</v>
      </c>
      <c r="E360" t="s">
        <v>215</v>
      </c>
      <c r="F360">
        <v>4</v>
      </c>
      <c r="G360">
        <v>23.015999999999998</v>
      </c>
      <c r="H360">
        <v>11.635249999999999</v>
      </c>
      <c r="I360">
        <v>15.85131151</v>
      </c>
      <c r="J360">
        <v>100</v>
      </c>
      <c r="K360">
        <v>43.391666669999999</v>
      </c>
      <c r="L360">
        <v>81.832490079999999</v>
      </c>
      <c r="M360">
        <v>9.9048256319999997</v>
      </c>
      <c r="N360">
        <v>-3.11</v>
      </c>
      <c r="O360">
        <v>1.38</v>
      </c>
      <c r="P360" t="s">
        <v>216</v>
      </c>
      <c r="Q360" t="s">
        <v>217</v>
      </c>
      <c r="R360" t="s">
        <v>216</v>
      </c>
      <c r="S360" t="s">
        <v>217</v>
      </c>
      <c r="T360" t="s">
        <v>217</v>
      </c>
      <c r="U360" t="s">
        <v>216</v>
      </c>
      <c r="V360">
        <f t="shared" si="20"/>
        <v>16</v>
      </c>
      <c r="W360">
        <f t="shared" si="21"/>
        <v>131</v>
      </c>
      <c r="X360">
        <f t="shared" si="22"/>
        <v>2.2857142857142856</v>
      </c>
      <c r="Y360">
        <f t="shared" si="23"/>
        <v>18.714285714285715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33</v>
      </c>
      <c r="AN360" s="1">
        <v>5</v>
      </c>
      <c r="AO360" s="1">
        <v>0</v>
      </c>
      <c r="AP360" s="1">
        <v>0</v>
      </c>
      <c r="AQ360" s="1">
        <v>3</v>
      </c>
      <c r="AR360" s="1">
        <v>0</v>
      </c>
      <c r="AS360" s="1">
        <v>0</v>
      </c>
      <c r="AT360" s="1">
        <v>1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1</v>
      </c>
      <c r="BH360" s="1">
        <v>0</v>
      </c>
      <c r="BI360" s="1">
        <v>0</v>
      </c>
      <c r="BJ360" s="1">
        <v>0</v>
      </c>
      <c r="BK360" s="1">
        <v>0</v>
      </c>
      <c r="BL360" s="1">
        <v>1</v>
      </c>
      <c r="BM360" s="1">
        <v>0</v>
      </c>
      <c r="BN360" s="1">
        <v>0</v>
      </c>
      <c r="BO360" s="1">
        <v>0</v>
      </c>
      <c r="BP360" s="1">
        <v>0</v>
      </c>
      <c r="BQ360" s="1">
        <v>1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2</v>
      </c>
      <c r="BZ360" s="1">
        <v>1</v>
      </c>
      <c r="CA360" s="1">
        <v>0</v>
      </c>
      <c r="CB360" s="1">
        <v>0</v>
      </c>
      <c r="CC360" s="1">
        <v>0</v>
      </c>
      <c r="CD360" s="1">
        <v>4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4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10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60</v>
      </c>
      <c r="DP360" s="1">
        <v>0</v>
      </c>
      <c r="DQ360" s="1">
        <v>0</v>
      </c>
      <c r="DR360" s="1">
        <v>0</v>
      </c>
      <c r="DS360" s="1">
        <v>3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1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</row>
    <row r="361" spans="1:242" x14ac:dyDescent="0.25">
      <c r="A361">
        <v>17020</v>
      </c>
      <c r="B361">
        <v>12</v>
      </c>
      <c r="C361">
        <v>14</v>
      </c>
      <c r="D361" t="s">
        <v>230</v>
      </c>
      <c r="E361" t="s">
        <v>215</v>
      </c>
      <c r="F361">
        <v>8</v>
      </c>
      <c r="G361">
        <v>23.488833329999999</v>
      </c>
      <c r="H361">
        <v>7.8158333329999996</v>
      </c>
      <c r="I361">
        <v>14.19524653</v>
      </c>
      <c r="J361">
        <v>97.716666669999995</v>
      </c>
      <c r="K361">
        <v>45.458333330000002</v>
      </c>
      <c r="L361">
        <v>80.138591270000006</v>
      </c>
      <c r="M361">
        <v>9.8808541220000006</v>
      </c>
      <c r="N361">
        <v>-3.4</v>
      </c>
      <c r="O361">
        <v>0.78600000000000003</v>
      </c>
      <c r="P361" t="s">
        <v>217</v>
      </c>
      <c r="Q361" t="s">
        <v>217</v>
      </c>
      <c r="R361" t="s">
        <v>217</v>
      </c>
      <c r="S361" t="s">
        <v>217</v>
      </c>
      <c r="T361" t="s">
        <v>217</v>
      </c>
      <c r="U361" t="s">
        <v>217</v>
      </c>
      <c r="V361">
        <f t="shared" si="20"/>
        <v>17</v>
      </c>
      <c r="W361">
        <f t="shared" si="21"/>
        <v>185</v>
      </c>
      <c r="X361">
        <f t="shared" si="22"/>
        <v>1.2142857142857142</v>
      </c>
      <c r="Y361">
        <f t="shared" si="23"/>
        <v>13.214285714285714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125</v>
      </c>
      <c r="AN361" s="1">
        <v>0</v>
      </c>
      <c r="AO361" s="1">
        <v>0</v>
      </c>
      <c r="AP361" s="1">
        <v>2</v>
      </c>
      <c r="AQ361" s="1">
        <v>0</v>
      </c>
      <c r="AR361" s="1">
        <v>1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2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1</v>
      </c>
      <c r="BM361" s="1">
        <v>1</v>
      </c>
      <c r="BN361" s="1">
        <v>2</v>
      </c>
      <c r="BO361" s="1">
        <v>1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1</v>
      </c>
      <c r="BV361" s="1">
        <v>0</v>
      </c>
      <c r="BW361" s="1">
        <v>0</v>
      </c>
      <c r="BX361" s="1">
        <v>0</v>
      </c>
      <c r="BY361" s="1">
        <v>0</v>
      </c>
      <c r="BZ361" s="1">
        <v>14</v>
      </c>
      <c r="CA361" s="1">
        <v>0</v>
      </c>
      <c r="CB361" s="1">
        <v>0</v>
      </c>
      <c r="CC361" s="1">
        <v>0</v>
      </c>
      <c r="CD361" s="1">
        <v>4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2</v>
      </c>
      <c r="CO361" s="1">
        <v>0</v>
      </c>
      <c r="CP361" s="1">
        <v>0</v>
      </c>
      <c r="CQ361" s="1">
        <v>0</v>
      </c>
      <c r="CR361" s="1">
        <v>0</v>
      </c>
      <c r="CS361" s="1">
        <v>1</v>
      </c>
      <c r="CT361" s="1">
        <v>3</v>
      </c>
      <c r="CU361" s="1">
        <v>0</v>
      </c>
      <c r="CV361" s="1">
        <v>12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12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1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BioSCAN Phase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Adams</cp:lastModifiedBy>
  <dcterms:created xsi:type="dcterms:W3CDTF">2019-04-16T19:13:59Z</dcterms:created>
  <dcterms:modified xsi:type="dcterms:W3CDTF">2019-07-25T18:53:33Z</dcterms:modified>
</cp:coreProperties>
</file>